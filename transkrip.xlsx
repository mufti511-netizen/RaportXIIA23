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kerjaan_smk\ADM GURU Mufti Adiyatma A.Md\2526\XII RPL A\Transkrip\"/>
    </mc:Choice>
  </mc:AlternateContent>
  <xr:revisionPtr revIDLastSave="0" documentId="13_ncr:1_{0375B6A9-D1E9-4B4A-9D45-9AC9C77CF0AB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DATA_SISWA" sheetId="1" r:id="rId1"/>
  </sheets>
  <calcPr calcId="181029"/>
</workbook>
</file>

<file path=xl/calcChain.xml><?xml version="1.0" encoding="utf-8"?>
<calcChain xmlns="http://schemas.openxmlformats.org/spreadsheetml/2006/main">
  <c r="CF8" i="1" l="1"/>
  <c r="CF9" i="1"/>
  <c r="CF10" i="1"/>
  <c r="CF11" i="1"/>
  <c r="CF12" i="1"/>
  <c r="CF13" i="1"/>
  <c r="CF14" i="1"/>
  <c r="CF15" i="1"/>
  <c r="CF16" i="1"/>
  <c r="CF17" i="1"/>
  <c r="CF18" i="1"/>
  <c r="CF19" i="1"/>
  <c r="CF20" i="1"/>
  <c r="CF21" i="1"/>
  <c r="CF22" i="1"/>
  <c r="CF23" i="1"/>
  <c r="CF24" i="1"/>
  <c r="CF25" i="1"/>
  <c r="CF26" i="1"/>
  <c r="CF27" i="1"/>
  <c r="CF28" i="1"/>
  <c r="CF29" i="1"/>
  <c r="CF30" i="1"/>
  <c r="CF31" i="1"/>
  <c r="CF32" i="1"/>
  <c r="CF7" i="1"/>
  <c r="CG7" i="1"/>
  <c r="AW6" i="1"/>
  <c r="AV6" i="1"/>
  <c r="X6" i="1"/>
  <c r="W6" i="1"/>
  <c r="V6" i="1"/>
  <c r="U6" i="1"/>
  <c r="T6" i="1"/>
  <c r="S6" i="1"/>
  <c r="R6" i="1"/>
  <c r="Q6" i="1"/>
  <c r="P6" i="1"/>
  <c r="O6" i="1"/>
  <c r="N6" i="1"/>
  <c r="M6" i="1"/>
  <c r="BS8" i="1"/>
  <c r="BS9" i="1"/>
  <c r="BS10" i="1"/>
  <c r="BS11" i="1"/>
  <c r="BS12" i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1" i="1"/>
  <c r="BS32" i="1"/>
  <c r="BS7" i="1"/>
  <c r="BP8" i="1"/>
  <c r="BP9" i="1"/>
  <c r="BP10" i="1"/>
  <c r="BP11" i="1"/>
  <c r="BP12" i="1"/>
  <c r="BP13" i="1"/>
  <c r="BP14" i="1"/>
  <c r="BP15" i="1"/>
  <c r="BP16" i="1"/>
  <c r="BP17" i="1"/>
  <c r="BP18" i="1"/>
  <c r="BP19" i="1"/>
  <c r="BP20" i="1"/>
  <c r="BP21" i="1"/>
  <c r="BP22" i="1"/>
  <c r="BP23" i="1"/>
  <c r="BP24" i="1"/>
  <c r="BP25" i="1"/>
  <c r="BP26" i="1"/>
  <c r="BP27" i="1"/>
  <c r="BP28" i="1"/>
  <c r="BP29" i="1"/>
  <c r="BP30" i="1"/>
  <c r="BP31" i="1"/>
  <c r="BP32" i="1"/>
  <c r="BP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7" i="1"/>
  <c r="AX32" i="1"/>
  <c r="AX31" i="1"/>
  <c r="AX30" i="1"/>
  <c r="AX29" i="1"/>
  <c r="AX28" i="1"/>
  <c r="AX27" i="1"/>
  <c r="AX26" i="1"/>
  <c r="AX25" i="1"/>
  <c r="AX24" i="1"/>
  <c r="AX23" i="1"/>
  <c r="AX22" i="1"/>
  <c r="AX21" i="1"/>
  <c r="AX20" i="1"/>
  <c r="AX19" i="1"/>
  <c r="AX18" i="1"/>
  <c r="AX17" i="1"/>
  <c r="AX16" i="1"/>
  <c r="AX15" i="1"/>
  <c r="AX14" i="1"/>
  <c r="AX13" i="1"/>
  <c r="AX12" i="1"/>
  <c r="AX11" i="1"/>
  <c r="AX10" i="1"/>
  <c r="AX9" i="1"/>
  <c r="AX8" i="1"/>
  <c r="AX7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  <c r="AL12" i="1"/>
  <c r="AL11" i="1"/>
  <c r="AL10" i="1"/>
  <c r="AL9" i="1"/>
  <c r="AL8" i="1"/>
  <c r="AL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7" i="1"/>
  <c r="CG8" i="1" l="1"/>
  <c r="CG11" i="1"/>
  <c r="CG12" i="1"/>
  <c r="CG17" i="1"/>
  <c r="CG20" i="1"/>
  <c r="CG23" i="1"/>
  <c r="CG29" i="1"/>
  <c r="CG16" i="1"/>
  <c r="CG19" i="1"/>
  <c r="CG15" i="1"/>
  <c r="CG13" i="1"/>
  <c r="CG24" i="1"/>
  <c r="CG26" i="1"/>
  <c r="CG27" i="1"/>
  <c r="CG30" i="1"/>
  <c r="CG32" i="1"/>
  <c r="CG22" i="1"/>
  <c r="CG25" i="1"/>
  <c r="CG28" i="1"/>
  <c r="CG9" i="1"/>
  <c r="CG10" i="1"/>
  <c r="CG14" i="1"/>
  <c r="CG18" i="1"/>
  <c r="CG21" i="1"/>
  <c r="CG31" i="1" l="1"/>
</calcChain>
</file>

<file path=xl/sharedStrings.xml><?xml version="1.0" encoding="utf-8"?>
<sst xmlns="http://schemas.openxmlformats.org/spreadsheetml/2006/main" count="293" uniqueCount="143">
  <si>
    <t>DATA SISWA — SUMBER MAIL MERGE TRANSKRIP NILAI</t>
  </si>
  <si>
    <t>SMK Pusdikhubad  ·  NPSN: 20224128  ·  Kurikulum Merdeka T.A. 2025/2026</t>
  </si>
  <si>
    <t>⚠  Petunjuk: Isi satu baris per siswa. Kolom kuning = field yang akan disisipkan ke dokumen Word via mail merge. Nilai semester 1–6 diisi angka bulat (0–100). SAJ (Skor Akhir Jurnal) diisi bila ada. RATA-RATA dihitung otomatis oleh rumus Excel.</t>
  </si>
  <si>
    <t>IDENTITAS SISWA (diisi per baris = 1 siswa)</t>
  </si>
  <si>
    <t>NO</t>
  </si>
  <si>
    <t>NAMA_SISWA</t>
  </si>
  <si>
    <t>NISN</t>
  </si>
  <si>
    <t>NIS</t>
  </si>
  <si>
    <t>PROGRAM_KEAHLIAN</t>
  </si>
  <si>
    <t>KONSENTRASI</t>
  </si>
  <si>
    <t>TEMPAT_LAHIR</t>
  </si>
  <si>
    <t>TANGGAL_LAHIR</t>
  </si>
  <si>
    <t>JENIS_KELAMIN</t>
  </si>
  <si>
    <t>TAHUN_MASUK</t>
  </si>
  <si>
    <t>AGAMA</t>
  </si>
  <si>
    <t>NAMA_ORTU</t>
  </si>
  <si>
    <t>Pengembangan Perangkat Lunak dan Gim</t>
  </si>
  <si>
    <t>Rekayasa Perangkat Lunak</t>
  </si>
  <si>
    <t>Islam</t>
  </si>
  <si>
    <t>87</t>
  </si>
  <si>
    <t>Pendidikan Pancasila</t>
  </si>
  <si>
    <t>Bahasa Indonesia</t>
  </si>
  <si>
    <t>Sejarah</t>
  </si>
  <si>
    <t>Seni Budaya</t>
  </si>
  <si>
    <t>Muatan Lokal; Kasundaan</t>
  </si>
  <si>
    <t>Matematika</t>
  </si>
  <si>
    <t>Bahasa Inggris</t>
  </si>
  <si>
    <t>Informatika</t>
  </si>
  <si>
    <t>Projek Ilmu Pengetahuan Alam dan Sosial</t>
  </si>
  <si>
    <t>Dasar-dasar Pemrograman</t>
  </si>
  <si>
    <t>Kreatifitas, Inovasi dan Kewirausahaan</t>
  </si>
  <si>
    <t>Mata Pelajaran Pilihan; Web Desain/UIUX</t>
  </si>
  <si>
    <t>Pendidikan Agama dan Budi Pekerti</t>
  </si>
  <si>
    <t>Pendidikan Jasmani, Olahraga, dan Kesehatan</t>
  </si>
  <si>
    <t>ARDI RAFIF MARWAN</t>
  </si>
  <si>
    <t>ERVINA DWIANTI   (P)</t>
  </si>
  <si>
    <t>FAJAR SIDIK</t>
  </si>
  <si>
    <t>GHILMAN MUHAMMAD</t>
  </si>
  <si>
    <t>HANDIKA HUMAAM ULHAQ</t>
  </si>
  <si>
    <t>IRSAN NUGRAHA</t>
  </si>
  <si>
    <t>JANU NIZAAR DAFFANI</t>
  </si>
  <si>
    <t>MIRNA ANGGRAENI PUTRI   (P)</t>
  </si>
  <si>
    <t>MUHAMMAD FADLAN AR RASYID</t>
  </si>
  <si>
    <t>MUHAMAD FAHRIL AL KAHFI</t>
  </si>
  <si>
    <t>MUHAMMAD LUTHFI RAIHAN NAJIB</t>
  </si>
  <si>
    <t>NENG SELVI NUR'AENI    (P)</t>
  </si>
  <si>
    <t>RACHEL AYU DIRA    (P)</t>
  </si>
  <si>
    <t>RAKA AGUNG FIRMANSYAH</t>
  </si>
  <si>
    <t>RANGGA PUTRA PRATAMA</t>
  </si>
  <si>
    <t>RAYA RADITYA PANGESTU</t>
  </si>
  <si>
    <t>SATRIA PASHA AJI SAPUTRA</t>
  </si>
  <si>
    <t>SALSABILA ROSA MULYADI  (P)</t>
  </si>
  <si>
    <t>SHEMY ANUGRAH</t>
  </si>
  <si>
    <t>SIBUA JULIYA SABILA   (P)</t>
  </si>
  <si>
    <t>WAHYU RAGIL SEPTIAN</t>
  </si>
  <si>
    <t>YEREMIA JOHANSEN CORNEL COROMPIS</t>
  </si>
  <si>
    <t>MUHAMMAD DAFFA ARRIZKY</t>
  </si>
  <si>
    <t xml:space="preserve">ADENA NAFIS ARFANI </t>
  </si>
  <si>
    <t>ALBAR NUR FADILAH</t>
  </si>
  <si>
    <t>ANNISA BULAN AGUSTINA (P)</t>
  </si>
  <si>
    <t>0073213637</t>
  </si>
  <si>
    <t>0079148869</t>
  </si>
  <si>
    <t>0071979207</t>
  </si>
  <si>
    <t>0071538616</t>
  </si>
  <si>
    <t>0087618209</t>
  </si>
  <si>
    <t>0077884613</t>
  </si>
  <si>
    <t>0089181378</t>
  </si>
  <si>
    <t>0077599606</t>
  </si>
  <si>
    <t>0078138805</t>
  </si>
  <si>
    <t>0081700702</t>
  </si>
  <si>
    <t>0081360023</t>
  </si>
  <si>
    <t>0083876031</t>
  </si>
  <si>
    <t>0088935914</t>
  </si>
  <si>
    <t>0088314456</t>
  </si>
  <si>
    <t>0074063780</t>
  </si>
  <si>
    <t>0079595987</t>
  </si>
  <si>
    <t>0076857015</t>
  </si>
  <si>
    <t>0079560054</t>
  </si>
  <si>
    <t>0076843310</t>
  </si>
  <si>
    <t>0071807787</t>
  </si>
  <si>
    <t>0071943140</t>
  </si>
  <si>
    <t>0084210749</t>
  </si>
  <si>
    <t>0071953664</t>
  </si>
  <si>
    <t>0077088669</t>
  </si>
  <si>
    <t>0085584555</t>
  </si>
  <si>
    <t>0072825064</t>
  </si>
  <si>
    <t>KOTA BANDUNG</t>
  </si>
  <si>
    <t>KOTA CIMAHI</t>
  </si>
  <si>
    <t>KABUPATEN GARUT</t>
  </si>
  <si>
    <t>KABUPATEN BANDUNG BARAT</t>
  </si>
  <si>
    <t>KOTA SAENTIS</t>
  </si>
  <si>
    <t>Laki-Laki</t>
  </si>
  <si>
    <t>Perempuan</t>
  </si>
  <si>
    <t>Kristen</t>
  </si>
  <si>
    <t>Akhmad Arifin</t>
  </si>
  <si>
    <t>Nanang Kosim</t>
  </si>
  <si>
    <t>Alm.Ahmad Sujarwo</t>
  </si>
  <si>
    <t xml:space="preserve">Hedi Supriatna </t>
  </si>
  <si>
    <t>Wawan Gunawan</t>
  </si>
  <si>
    <t>Abang Pain</t>
  </si>
  <si>
    <t>Nahrowi</t>
  </si>
  <si>
    <t>Ujang Supriatna</t>
  </si>
  <si>
    <t>Lili Budiono</t>
  </si>
  <si>
    <t>Suripta</t>
  </si>
  <si>
    <t>Maman Lesmana</t>
  </si>
  <si>
    <t xml:space="preserve">Hendra Suhendra </t>
  </si>
  <si>
    <t>AMIL</t>
  </si>
  <si>
    <t>Ade Sutarman</t>
  </si>
  <si>
    <t>Yayan</t>
  </si>
  <si>
    <t xml:space="preserve">Juniarto </t>
  </si>
  <si>
    <t>Asep Kurnia</t>
  </si>
  <si>
    <t xml:space="preserve">Irwandi </t>
  </si>
  <si>
    <t>Tito Sobari</t>
  </si>
  <si>
    <t>Sunaji</t>
  </si>
  <si>
    <t>Yusuf Muliyadi</t>
  </si>
  <si>
    <t>Asep Wawan</t>
  </si>
  <si>
    <t>Ade Ilham Sibua</t>
  </si>
  <si>
    <t xml:space="preserve">Supriyanto </t>
  </si>
  <si>
    <t>Yosef Benyamin Korompis</t>
  </si>
  <si>
    <t>Raden Agus Mulyadi</t>
  </si>
  <si>
    <t>Rata-Rata</t>
  </si>
  <si>
    <t>76</t>
  </si>
  <si>
    <t>Konsentrasi Keahlian (RPL)</t>
  </si>
  <si>
    <t>Internalisasi Soft Skills Di Dunia Kerja</t>
  </si>
  <si>
    <t>Penerapan hard skills, POS dan K3LH pada Dunia Kerja</t>
  </si>
  <si>
    <t>Peningkatan dan Pengembangan Hard Skills Pada Dunia Kerja</t>
  </si>
  <si>
    <t>Penyiapan Kemandirian Berwirausaha</t>
  </si>
  <si>
    <t>UKK Internal</t>
  </si>
  <si>
    <t>UKK Industri</t>
  </si>
  <si>
    <t>Rata-Rata (UKK)</t>
  </si>
  <si>
    <t>NILAI SEMESTER 1</t>
  </si>
  <si>
    <t>NILAI SEMESTER 2</t>
  </si>
  <si>
    <t>NILAI SEMESTER 3</t>
  </si>
  <si>
    <t>NILAI SEMESTER 4</t>
  </si>
  <si>
    <t>NILAI SEMESTER 5 PKL</t>
  </si>
  <si>
    <t>NILAI UKK KIRI INDUSTRI KANAN INTERNAL</t>
  </si>
  <si>
    <t>NILAI SEMESTER 6</t>
  </si>
  <si>
    <t>RATA RATA NILAI</t>
  </si>
  <si>
    <t>PBTGM</t>
  </si>
  <si>
    <t>BASIS DATA</t>
  </si>
  <si>
    <t>Pemrograman Web</t>
  </si>
  <si>
    <t>Pemrograman Perangkat Bergeral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</si>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</sst>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.0"/>
  </numFmts>
  <fonts count="14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sz val="10"/>
      <color rgb="FFFFFFFF"/>
      <name val="Arial"/>
    </font>
    <font>
      <i/>
      <sz val="9"/>
      <color rgb="FF7B4F00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b/>
      <sz val="7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9"/>
      <color rgb="FF1A5276"/>
      <name val="Arial"/>
    </font>
    <font>
      <sz val="8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Calibri"/>
      <family val="2"/>
      <charset val="1"/>
    </font>
    <font>
      <b/>
      <sz val="7"/>
      <color rgb="FFFFFF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0D6E3A"/>
      </patternFill>
    </fill>
    <fill>
      <patternFill patternType="solid">
        <fgColor rgb="FF1A5276"/>
      </patternFill>
    </fill>
    <fill>
      <patternFill patternType="solid">
        <fgColor rgb="FFFFFFFF"/>
      </patternFill>
    </fill>
    <fill>
      <patternFill patternType="solid">
        <fgColor rgb="FFD5F5E3"/>
      </patternFill>
    </fill>
    <fill>
      <patternFill patternType="solid">
        <fgColor rgb="FFD6EAF8"/>
      </patternFill>
    </fill>
    <fill>
      <patternFill patternType="solid">
        <fgColor rgb="FFEBF5FB"/>
      </patternFill>
    </fill>
    <fill>
      <patternFill patternType="solid">
        <fgColor rgb="FFD7F9E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11" fillId="0" borderId="0"/>
    <xf numFmtId="0" fontId="12" fillId="0" borderId="0"/>
    <xf numFmtId="0" fontId="12" fillId="0" borderId="0"/>
  </cellStyleXfs>
  <cellXfs count="33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left" vertical="center"/>
    </xf>
    <xf numFmtId="164" fontId="8" fillId="10" borderId="1" xfId="0" applyNumberFormat="1" applyFont="1" applyFill="1" applyBorder="1" applyAlignment="1">
      <alignment horizontal="left" vertical="center"/>
    </xf>
    <xf numFmtId="164" fontId="8" fillId="7" borderId="1" xfId="0" applyNumberFormat="1" applyFont="1" applyFill="1" applyBorder="1" applyAlignment="1">
      <alignment horizontal="left" vertical="center"/>
    </xf>
    <xf numFmtId="2" fontId="8" fillId="11" borderId="1" xfId="0" applyNumberFormat="1" applyFont="1" applyFill="1" applyBorder="1" applyAlignment="1">
      <alignment horizontal="center" vertical="center"/>
    </xf>
    <xf numFmtId="1" fontId="8" fillId="4" borderId="1" xfId="0" applyNumberFormat="1" applyFont="1" applyFill="1" applyBorder="1" applyAlignment="1">
      <alignment horizontal="center" vertical="center"/>
    </xf>
    <xf numFmtId="1" fontId="8" fillId="11" borderId="1" xfId="0" applyNumberFormat="1" applyFont="1" applyFill="1" applyBorder="1" applyAlignment="1">
      <alignment horizontal="center" vertical="center"/>
    </xf>
    <xf numFmtId="1" fontId="8" fillId="7" borderId="1" xfId="0" applyNumberFormat="1" applyFont="1" applyFill="1" applyBorder="1" applyAlignment="1">
      <alignment horizontal="center" vertical="center"/>
    </xf>
    <xf numFmtId="1" fontId="8" fillId="10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" fontId="8" fillId="8" borderId="1" xfId="0" applyNumberFormat="1" applyFont="1" applyFill="1" applyBorder="1" applyAlignment="1">
      <alignment horizontal="center" vertical="center"/>
    </xf>
    <xf numFmtId="165" fontId="8" fillId="7" borderId="1" xfId="0" applyNumberFormat="1" applyFont="1" applyFill="1" applyBorder="1" applyAlignment="1">
      <alignment horizontal="center" vertical="center"/>
    </xf>
    <xf numFmtId="165" fontId="8" fillId="10" borderId="1" xfId="0" applyNumberFormat="1" applyFont="1" applyFill="1" applyBorder="1" applyAlignment="1">
      <alignment horizontal="center" vertical="center"/>
    </xf>
    <xf numFmtId="165" fontId="8" fillId="4" borderId="1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2" xr:uid="{D85E5774-6975-4777-A4FF-F53ED462EB4A}"/>
    <cellStyle name="Normal 3" xfId="3" xr:uid="{F7C4411C-80B0-4BB6-84C9-FA16E67BEB51}"/>
    <cellStyle name="Normal 4" xfId="1" xr:uid="{88CE26BB-D650-4938-A307-877A48B3D61C}"/>
  </cellStyles>
  <dxfs count="0"/>
  <tableStyles count="0" defaultTableStyle="TableStyleMedium9" defaultPivotStyle="PivotStyleLight16"/>
  <colors>
    <mruColors>
      <color rgb="FFD7F9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32"/>
  <sheetViews>
    <sheetView tabSelected="1" zoomScale="77" zoomScaleNormal="77" workbookViewId="0">
      <pane xSplit="1" ySplit="6" topLeftCell="BL16" activePane="bottomRight" state="frozen"/>
      <selection pane="topRight"/>
      <selection pane="bottomLeft"/>
      <selection pane="bottomRight" activeCell="BT6" sqref="BT6"/>
    </sheetView>
  </sheetViews>
  <sheetFormatPr defaultRowHeight="15" x14ac:dyDescent="0.25"/>
  <cols>
    <col min="1" max="1" width="4.28515625" customWidth="1"/>
    <col min="2" max="2" width="28" customWidth="1"/>
    <col min="3" max="3" width="14" customWidth="1"/>
    <col min="4" max="4" width="12" customWidth="1"/>
    <col min="5" max="5" width="35.42578125" bestFit="1" customWidth="1"/>
    <col min="6" max="6" width="23" bestFit="1" customWidth="1"/>
    <col min="7" max="7" width="18" customWidth="1"/>
    <col min="8" max="8" width="23.5703125" bestFit="1" customWidth="1"/>
    <col min="9" max="9" width="14" customWidth="1"/>
    <col min="10" max="11" width="12" customWidth="1"/>
    <col min="12" max="12" width="24" customWidth="1"/>
    <col min="13" max="78" width="8" customWidth="1"/>
    <col min="79" max="79" width="7.42578125" bestFit="1" customWidth="1"/>
    <col min="80" max="85" width="8" customWidth="1"/>
  </cols>
  <sheetData>
    <row r="1" spans="1:85" ht="21.95" customHeight="1" x14ac:dyDescent="0.25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CA1" t="s">
        <v>142</v>
      </c>
    </row>
    <row r="2" spans="1:85" ht="15.95" customHeight="1" x14ac:dyDescent="0.25">
      <c r="A2" s="31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85" ht="32.1" customHeight="1" x14ac:dyDescent="0.25">
      <c r="A3" s="30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5" spans="1:85" ht="18" customHeight="1" x14ac:dyDescent="0.25">
      <c r="A5" s="27" t="s">
        <v>3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 t="s">
        <v>130</v>
      </c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 t="s">
        <v>131</v>
      </c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 t="s">
        <v>132</v>
      </c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 t="s">
        <v>133</v>
      </c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 t="s">
        <v>134</v>
      </c>
      <c r="BM5" s="27"/>
      <c r="BN5" s="27"/>
      <c r="BO5" s="27"/>
      <c r="BP5" s="27"/>
      <c r="BQ5" s="27" t="s">
        <v>135</v>
      </c>
      <c r="BR5" s="27"/>
      <c r="BS5" s="27"/>
      <c r="BT5" s="27" t="s">
        <v>136</v>
      </c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6"/>
    </row>
    <row r="6" spans="1:85" ht="56.1" customHeight="1" x14ac:dyDescent="0.25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2" t="e">
        <f>#REF!</f>
        <v>#REF!</v>
      </c>
      <c r="N6" s="2" t="e">
        <f>#REF!</f>
        <v>#REF!</v>
      </c>
      <c r="O6" s="2" t="e">
        <f>#REF!</f>
        <v>#REF!</v>
      </c>
      <c r="P6" s="2" t="e">
        <f>#REF!</f>
        <v>#REF!</v>
      </c>
      <c r="Q6" s="2" t="e">
        <f>#REF!</f>
        <v>#REF!</v>
      </c>
      <c r="R6" s="2" t="e">
        <f>#REF!</f>
        <v>#REF!</v>
      </c>
      <c r="S6" s="2" t="e">
        <f>#REF!</f>
        <v>#REF!</v>
      </c>
      <c r="T6" s="2" t="e">
        <f>#REF!</f>
        <v>#REF!</v>
      </c>
      <c r="U6" s="2" t="e">
        <f>#REF!</f>
        <v>#REF!</v>
      </c>
      <c r="V6" s="2" t="e">
        <f>#REF!</f>
        <v>#REF!</v>
      </c>
      <c r="W6" s="2" t="e">
        <f>#REF!</f>
        <v>#REF!</v>
      </c>
      <c r="X6" s="2" t="e">
        <f>#REF!</f>
        <v>#REF!</v>
      </c>
      <c r="Y6" s="3" t="s">
        <v>120</v>
      </c>
      <c r="Z6" s="2" t="s">
        <v>32</v>
      </c>
      <c r="AA6" s="2" t="s">
        <v>20</v>
      </c>
      <c r="AB6" s="2" t="s">
        <v>21</v>
      </c>
      <c r="AC6" s="2" t="s">
        <v>33</v>
      </c>
      <c r="AD6" s="2" t="s">
        <v>22</v>
      </c>
      <c r="AE6" s="2" t="s">
        <v>23</v>
      </c>
      <c r="AF6" s="2" t="s">
        <v>24</v>
      </c>
      <c r="AG6" s="2" t="s">
        <v>25</v>
      </c>
      <c r="AH6" s="2" t="s">
        <v>26</v>
      </c>
      <c r="AI6" s="2" t="s">
        <v>27</v>
      </c>
      <c r="AJ6" s="2" t="s">
        <v>28</v>
      </c>
      <c r="AK6" s="2" t="s">
        <v>29</v>
      </c>
      <c r="AL6" s="3" t="s">
        <v>120</v>
      </c>
      <c r="AM6" s="2" t="s">
        <v>32</v>
      </c>
      <c r="AN6" s="2" t="s">
        <v>20</v>
      </c>
      <c r="AO6" s="2" t="s">
        <v>21</v>
      </c>
      <c r="AP6" s="2" t="s">
        <v>33</v>
      </c>
      <c r="AQ6" s="2" t="s">
        <v>22</v>
      </c>
      <c r="AR6" s="2" t="s">
        <v>24</v>
      </c>
      <c r="AS6" s="2" t="s">
        <v>25</v>
      </c>
      <c r="AT6" s="2" t="s">
        <v>26</v>
      </c>
      <c r="AU6" s="2" t="s">
        <v>122</v>
      </c>
      <c r="AV6" s="2" t="e">
        <f>#REF!</f>
        <v>#REF!</v>
      </c>
      <c r="AW6" s="2" t="e">
        <f>#REF!</f>
        <v>#REF!</v>
      </c>
      <c r="AX6" s="3" t="s">
        <v>120</v>
      </c>
      <c r="AY6" s="2" t="s">
        <v>32</v>
      </c>
      <c r="AZ6" s="2" t="s">
        <v>20</v>
      </c>
      <c r="BA6" s="2" t="s">
        <v>21</v>
      </c>
      <c r="BB6" s="2" t="s">
        <v>33</v>
      </c>
      <c r="BC6" s="2" t="s">
        <v>22</v>
      </c>
      <c r="BD6" s="4" t="s">
        <v>23</v>
      </c>
      <c r="BE6" s="2" t="s">
        <v>24</v>
      </c>
      <c r="BF6" s="2" t="s">
        <v>25</v>
      </c>
      <c r="BG6" s="2" t="s">
        <v>26</v>
      </c>
      <c r="BH6" s="2" t="s">
        <v>122</v>
      </c>
      <c r="BI6" s="2" t="s">
        <v>30</v>
      </c>
      <c r="BJ6" s="2" t="s">
        <v>31</v>
      </c>
      <c r="BK6" s="3" t="s">
        <v>120</v>
      </c>
      <c r="BL6" s="2" t="s">
        <v>123</v>
      </c>
      <c r="BM6" s="2" t="s">
        <v>124</v>
      </c>
      <c r="BN6" s="2" t="s">
        <v>125</v>
      </c>
      <c r="BO6" s="2" t="s">
        <v>126</v>
      </c>
      <c r="BP6" s="3" t="s">
        <v>120</v>
      </c>
      <c r="BQ6" s="2" t="s">
        <v>128</v>
      </c>
      <c r="BR6" s="2" t="s">
        <v>127</v>
      </c>
      <c r="BS6" s="3" t="s">
        <v>129</v>
      </c>
      <c r="BT6" s="2" t="s">
        <v>32</v>
      </c>
      <c r="BU6" s="2" t="s">
        <v>20</v>
      </c>
      <c r="BV6" s="2" t="s">
        <v>21</v>
      </c>
      <c r="BW6" s="2" t="s">
        <v>33</v>
      </c>
      <c r="BX6" s="2" t="s">
        <v>25</v>
      </c>
      <c r="BY6" s="2" t="s">
        <v>26</v>
      </c>
      <c r="BZ6" s="32" t="s">
        <v>140</v>
      </c>
      <c r="CA6" s="32" t="s">
        <v>141</v>
      </c>
      <c r="CB6" s="32" t="s">
        <v>138</v>
      </c>
      <c r="CC6" s="32" t="s">
        <v>139</v>
      </c>
      <c r="CD6" s="2" t="s">
        <v>30</v>
      </c>
      <c r="CE6" s="2" t="s">
        <v>31</v>
      </c>
      <c r="CF6" s="3" t="s">
        <v>120</v>
      </c>
      <c r="CG6" s="4" t="s">
        <v>137</v>
      </c>
    </row>
    <row r="7" spans="1:85" ht="15.95" customHeight="1" x14ac:dyDescent="0.25">
      <c r="A7" s="5">
        <v>1</v>
      </c>
      <c r="B7" s="6" t="s">
        <v>57</v>
      </c>
      <c r="C7" s="6" t="s">
        <v>60</v>
      </c>
      <c r="D7" s="6">
        <v>102308340</v>
      </c>
      <c r="E7" s="6" t="s">
        <v>16</v>
      </c>
      <c r="F7" s="6" t="s">
        <v>17</v>
      </c>
      <c r="G7" s="6" t="s">
        <v>86</v>
      </c>
      <c r="H7" s="13">
        <v>39317</v>
      </c>
      <c r="I7" s="6" t="s">
        <v>91</v>
      </c>
      <c r="J7" s="6">
        <v>2023</v>
      </c>
      <c r="K7" s="6" t="s">
        <v>18</v>
      </c>
      <c r="L7" s="6" t="s">
        <v>94</v>
      </c>
      <c r="M7" s="17">
        <v>78</v>
      </c>
      <c r="N7" s="17">
        <v>75</v>
      </c>
      <c r="O7" s="17">
        <v>70</v>
      </c>
      <c r="P7" s="17">
        <v>76</v>
      </c>
      <c r="Q7" s="17">
        <v>75.666666666666671</v>
      </c>
      <c r="R7" s="17">
        <v>80</v>
      </c>
      <c r="S7" s="17">
        <v>78</v>
      </c>
      <c r="T7" s="17">
        <v>75</v>
      </c>
      <c r="U7" s="17">
        <v>78</v>
      </c>
      <c r="V7" s="17">
        <v>86.09</v>
      </c>
      <c r="W7" s="17">
        <v>71.666666666666671</v>
      </c>
      <c r="X7" s="17">
        <v>89.370000000000019</v>
      </c>
      <c r="Y7" s="18">
        <f t="shared" ref="Y7:Y32" si="0">IFERROR(AVERAGEIF(M7:X7,"&lt;&gt;0"),"")</f>
        <v>77.732777777777784</v>
      </c>
      <c r="Z7" s="17">
        <v>80</v>
      </c>
      <c r="AA7" s="17">
        <v>85</v>
      </c>
      <c r="AB7" s="17">
        <v>75</v>
      </c>
      <c r="AC7" s="17">
        <v>81</v>
      </c>
      <c r="AD7" s="17">
        <v>84.2</v>
      </c>
      <c r="AE7" s="17">
        <v>80</v>
      </c>
      <c r="AF7" s="17">
        <v>80</v>
      </c>
      <c r="AG7" s="17">
        <v>75</v>
      </c>
      <c r="AH7" s="17">
        <v>80</v>
      </c>
      <c r="AI7" s="17">
        <v>81.650000000000006</v>
      </c>
      <c r="AJ7" s="17">
        <v>80.666666666666671</v>
      </c>
      <c r="AK7" s="17">
        <v>85</v>
      </c>
      <c r="AL7" s="18">
        <f t="shared" ref="AL7:AL32" si="1">IFERROR(AVERAGEIF(Z7:AK7,"&lt;&gt;0"),"")</f>
        <v>80.626388888888883</v>
      </c>
      <c r="AM7" s="17">
        <v>80.666666666666671</v>
      </c>
      <c r="AN7" s="7">
        <v>82</v>
      </c>
      <c r="AO7" s="17">
        <v>79.791666666666671</v>
      </c>
      <c r="AP7" s="17">
        <v>77.400000000000006</v>
      </c>
      <c r="AQ7" s="7">
        <v>82</v>
      </c>
      <c r="AR7" s="7">
        <v>80</v>
      </c>
      <c r="AS7" s="7">
        <v>95</v>
      </c>
      <c r="AT7" s="17">
        <v>85.366</v>
      </c>
      <c r="AU7" s="7">
        <v>85</v>
      </c>
      <c r="AV7" s="17">
        <v>85</v>
      </c>
      <c r="AW7" s="17">
        <v>86.125</v>
      </c>
      <c r="AX7" s="21">
        <f t="shared" ref="AX7:AX32" si="2">IFERROR(AVERAGEIF(AR7:AU7,"&lt;&gt;0"),"")</f>
        <v>86.341499999999996</v>
      </c>
      <c r="AY7" s="17">
        <v>84</v>
      </c>
      <c r="AZ7" s="7">
        <v>83</v>
      </c>
      <c r="BA7" s="17">
        <v>86.666666666666671</v>
      </c>
      <c r="BB7" s="17">
        <v>75</v>
      </c>
      <c r="BC7" s="7">
        <v>82</v>
      </c>
      <c r="BD7" s="17">
        <v>86</v>
      </c>
      <c r="BE7" s="17">
        <v>77.900000000000006</v>
      </c>
      <c r="BF7" s="17">
        <v>77.900000000000006</v>
      </c>
      <c r="BG7" s="17">
        <v>94</v>
      </c>
      <c r="BH7" s="17">
        <v>88.307999999999993</v>
      </c>
      <c r="BI7" s="17">
        <v>91</v>
      </c>
      <c r="BJ7" s="17">
        <v>83.25</v>
      </c>
      <c r="BK7" s="21">
        <f t="shared" ref="BK7:BK32" si="3">IFERROR(AVERAGEIF(AY7:BI7,"&lt;&gt;0"),"")</f>
        <v>84.161333333333332</v>
      </c>
      <c r="BL7" s="17">
        <v>85</v>
      </c>
      <c r="BM7" s="17">
        <v>100</v>
      </c>
      <c r="BN7" s="17">
        <v>89</v>
      </c>
      <c r="BO7" s="17">
        <v>87</v>
      </c>
      <c r="BP7" s="21">
        <f t="shared" ref="BP7:BP32" si="4">IFERROR(AVERAGEIF(BL7:BO7,"&lt;&gt;0"),"")</f>
        <v>90.25</v>
      </c>
      <c r="BQ7" s="7">
        <v>75</v>
      </c>
      <c r="BR7" s="7">
        <v>80</v>
      </c>
      <c r="BS7" s="22">
        <f t="shared" ref="BS7:BS32" si="5">AVERAGE(BQ7:BR7)</f>
        <v>77.5</v>
      </c>
      <c r="BT7" s="25">
        <v>83</v>
      </c>
      <c r="BU7" s="25">
        <v>84</v>
      </c>
      <c r="BV7" s="25">
        <v>85</v>
      </c>
      <c r="BW7" s="25">
        <v>89</v>
      </c>
      <c r="BX7" s="25">
        <v>0</v>
      </c>
      <c r="BY7" s="25">
        <v>95</v>
      </c>
      <c r="BZ7" s="25">
        <v>77.5</v>
      </c>
      <c r="CA7" s="25">
        <v>80</v>
      </c>
      <c r="CB7" s="25">
        <v>80</v>
      </c>
      <c r="CC7" s="25">
        <v>85</v>
      </c>
      <c r="CD7" s="25">
        <v>83</v>
      </c>
      <c r="CE7" s="25">
        <v>85</v>
      </c>
      <c r="CF7" s="21">
        <f>IFERROR(AVERAGEIF(BT7:CE7,"&lt;&gt;0"),"")</f>
        <v>84.227272727272734</v>
      </c>
      <c r="CG7" s="8">
        <f>IFERROR(AVERAGEIF(BT7:CE7,"&lt;&gt;0"),"")</f>
        <v>84.227272727272734</v>
      </c>
    </row>
    <row r="8" spans="1:85" x14ac:dyDescent="0.25">
      <c r="A8" s="5">
        <v>2</v>
      </c>
      <c r="B8" s="11" t="s">
        <v>58</v>
      </c>
      <c r="C8" s="11" t="s">
        <v>61</v>
      </c>
      <c r="D8" s="11">
        <v>102308342</v>
      </c>
      <c r="E8" s="6" t="s">
        <v>16</v>
      </c>
      <c r="F8" s="6" t="s">
        <v>17</v>
      </c>
      <c r="G8" s="11" t="s">
        <v>87</v>
      </c>
      <c r="H8" s="15">
        <v>39132</v>
      </c>
      <c r="I8" s="11" t="s">
        <v>91</v>
      </c>
      <c r="J8" s="6">
        <v>2023</v>
      </c>
      <c r="K8" s="11" t="s">
        <v>18</v>
      </c>
      <c r="L8" s="11" t="s">
        <v>95</v>
      </c>
      <c r="M8" s="19">
        <v>81</v>
      </c>
      <c r="N8" s="19">
        <v>78</v>
      </c>
      <c r="O8" s="19">
        <v>85</v>
      </c>
      <c r="P8" s="19">
        <v>77</v>
      </c>
      <c r="Q8" s="19">
        <v>77.666666666666671</v>
      </c>
      <c r="R8" s="19">
        <v>90</v>
      </c>
      <c r="S8" s="19">
        <v>85</v>
      </c>
      <c r="T8" s="19">
        <v>88</v>
      </c>
      <c r="U8" s="19">
        <v>78</v>
      </c>
      <c r="V8" s="19">
        <v>84</v>
      </c>
      <c r="W8" s="19">
        <v>80</v>
      </c>
      <c r="X8" s="19">
        <v>85</v>
      </c>
      <c r="Y8" s="18">
        <f t="shared" si="0"/>
        <v>82.3888888888889</v>
      </c>
      <c r="Z8" s="19">
        <v>82</v>
      </c>
      <c r="AA8" s="19">
        <v>88</v>
      </c>
      <c r="AB8" s="19">
        <v>75</v>
      </c>
      <c r="AC8" s="19">
        <v>83</v>
      </c>
      <c r="AD8" s="19">
        <v>82.8</v>
      </c>
      <c r="AE8" s="19">
        <v>87</v>
      </c>
      <c r="AF8" s="19">
        <v>85</v>
      </c>
      <c r="AG8" s="19">
        <v>90</v>
      </c>
      <c r="AH8" s="19">
        <v>80</v>
      </c>
      <c r="AI8" s="19">
        <v>83.2</v>
      </c>
      <c r="AJ8" s="19">
        <v>80</v>
      </c>
      <c r="AK8" s="19">
        <v>83.34210526315789</v>
      </c>
      <c r="AL8" s="18">
        <f t="shared" si="1"/>
        <v>83.278508771929822</v>
      </c>
      <c r="AM8" s="19">
        <v>82.666666666666671</v>
      </c>
      <c r="AN8" s="12">
        <v>88</v>
      </c>
      <c r="AO8" s="19">
        <v>83.481481481481481</v>
      </c>
      <c r="AP8" s="19">
        <v>87.199999999999989</v>
      </c>
      <c r="AQ8" s="12">
        <v>83</v>
      </c>
      <c r="AR8" s="12">
        <v>80</v>
      </c>
      <c r="AS8" s="12">
        <v>92</v>
      </c>
      <c r="AT8" s="19">
        <v>85.984857142857138</v>
      </c>
      <c r="AU8" s="12">
        <v>86</v>
      </c>
      <c r="AV8" s="19">
        <v>86</v>
      </c>
      <c r="AW8" s="19">
        <v>91.875</v>
      </c>
      <c r="AX8" s="21">
        <f t="shared" si="2"/>
        <v>85.996214285714288</v>
      </c>
      <c r="AY8" s="19">
        <v>84</v>
      </c>
      <c r="AZ8" s="12">
        <v>91</v>
      </c>
      <c r="BA8" s="19">
        <v>90</v>
      </c>
      <c r="BB8" s="19">
        <v>77.099999999999994</v>
      </c>
      <c r="BC8" s="12">
        <v>83</v>
      </c>
      <c r="BD8" s="19">
        <v>86</v>
      </c>
      <c r="BE8" s="19">
        <v>81.25</v>
      </c>
      <c r="BF8" s="19">
        <v>81.25</v>
      </c>
      <c r="BG8" s="19">
        <v>91</v>
      </c>
      <c r="BH8" s="19">
        <v>93.653000000000006</v>
      </c>
      <c r="BI8" s="19">
        <v>93</v>
      </c>
      <c r="BJ8" s="19">
        <v>85.25</v>
      </c>
      <c r="BK8" s="21">
        <f t="shared" si="3"/>
        <v>86.477545454545464</v>
      </c>
      <c r="BL8" s="19">
        <v>95</v>
      </c>
      <c r="BM8" s="19">
        <v>95</v>
      </c>
      <c r="BN8" s="19">
        <v>98</v>
      </c>
      <c r="BO8" s="19">
        <v>98</v>
      </c>
      <c r="BP8" s="21">
        <f t="shared" si="4"/>
        <v>96.5</v>
      </c>
      <c r="BQ8" s="12">
        <v>93</v>
      </c>
      <c r="BR8" s="12">
        <v>97</v>
      </c>
      <c r="BS8" s="22">
        <f t="shared" si="5"/>
        <v>95</v>
      </c>
      <c r="BT8" s="23">
        <v>84</v>
      </c>
      <c r="BU8" s="23">
        <v>98</v>
      </c>
      <c r="BV8" s="23">
        <v>85</v>
      </c>
      <c r="BW8" s="23">
        <v>90</v>
      </c>
      <c r="BX8" s="23">
        <v>0</v>
      </c>
      <c r="BY8" s="23">
        <v>90</v>
      </c>
      <c r="BZ8" s="23">
        <v>95</v>
      </c>
      <c r="CA8" s="23">
        <v>80</v>
      </c>
      <c r="CB8" s="23">
        <v>86</v>
      </c>
      <c r="CC8" s="23">
        <v>85</v>
      </c>
      <c r="CD8" s="23">
        <v>95</v>
      </c>
      <c r="CE8" s="23">
        <v>85</v>
      </c>
      <c r="CF8" s="21">
        <f t="shared" ref="CF8:CF32" si="6">IFERROR(AVERAGEIF(BT8:CE8,"&lt;&gt;0"),"")</f>
        <v>88.454545454545453</v>
      </c>
      <c r="CG8" s="8">
        <f>IFERROR(AVERAGEIF(BT8:CE8,"&lt;&gt;0"),"")</f>
        <v>88.454545454545453</v>
      </c>
    </row>
    <row r="9" spans="1:85" x14ac:dyDescent="0.25">
      <c r="A9" s="5">
        <v>3</v>
      </c>
      <c r="B9" s="9" t="s">
        <v>59</v>
      </c>
      <c r="C9" s="9" t="s">
        <v>62</v>
      </c>
      <c r="D9" s="9">
        <v>102308343</v>
      </c>
      <c r="E9" s="6" t="s">
        <v>16</v>
      </c>
      <c r="F9" s="6" t="s">
        <v>17</v>
      </c>
      <c r="G9" s="9" t="s">
        <v>87</v>
      </c>
      <c r="H9" s="14">
        <v>39303</v>
      </c>
      <c r="I9" s="9" t="s">
        <v>92</v>
      </c>
      <c r="J9" s="6">
        <v>2023</v>
      </c>
      <c r="K9" s="9" t="s">
        <v>18</v>
      </c>
      <c r="L9" s="9" t="s">
        <v>96</v>
      </c>
      <c r="M9" s="20">
        <v>80</v>
      </c>
      <c r="N9" s="20">
        <v>81</v>
      </c>
      <c r="O9" s="20">
        <v>80</v>
      </c>
      <c r="P9" s="20">
        <v>75</v>
      </c>
      <c r="Q9" s="20">
        <v>75.666666666666671</v>
      </c>
      <c r="R9" s="20">
        <v>83</v>
      </c>
      <c r="S9" s="20">
        <v>80</v>
      </c>
      <c r="T9" s="20">
        <v>80</v>
      </c>
      <c r="U9" s="20">
        <v>78</v>
      </c>
      <c r="V9" s="20">
        <v>80</v>
      </c>
      <c r="W9" s="20">
        <v>76.666666666666671</v>
      </c>
      <c r="X9" s="20">
        <v>85.045000000000016</v>
      </c>
      <c r="Y9" s="18">
        <f t="shared" si="0"/>
        <v>79.531527777777782</v>
      </c>
      <c r="Z9" s="20">
        <v>80</v>
      </c>
      <c r="AA9" s="20">
        <v>84</v>
      </c>
      <c r="AB9" s="20">
        <v>75</v>
      </c>
      <c r="AC9" s="20">
        <v>80</v>
      </c>
      <c r="AD9" s="20">
        <v>85.2</v>
      </c>
      <c r="AE9" s="20">
        <v>90</v>
      </c>
      <c r="AF9" s="20">
        <v>83</v>
      </c>
      <c r="AG9" s="20">
        <v>83</v>
      </c>
      <c r="AH9" s="20">
        <v>80</v>
      </c>
      <c r="AI9" s="20">
        <v>77.75</v>
      </c>
      <c r="AJ9" s="20">
        <v>80.666666666666671</v>
      </c>
      <c r="AK9" s="20">
        <v>83.21052631578948</v>
      </c>
      <c r="AL9" s="18">
        <f t="shared" si="1"/>
        <v>81.818932748538018</v>
      </c>
      <c r="AM9" s="20">
        <v>80</v>
      </c>
      <c r="AN9" s="10">
        <v>83</v>
      </c>
      <c r="AO9" s="20">
        <v>84.416666666666671</v>
      </c>
      <c r="AP9" s="20">
        <v>85.6</v>
      </c>
      <c r="AQ9" s="10">
        <v>87</v>
      </c>
      <c r="AR9" s="10">
        <v>80</v>
      </c>
      <c r="AS9" s="10">
        <v>80</v>
      </c>
      <c r="AT9" s="20">
        <v>80.975000000000009</v>
      </c>
      <c r="AU9" s="10">
        <v>85</v>
      </c>
      <c r="AV9" s="20">
        <v>85</v>
      </c>
      <c r="AW9" s="20">
        <v>84.375</v>
      </c>
      <c r="AX9" s="21">
        <f t="shared" si="2"/>
        <v>81.493750000000006</v>
      </c>
      <c r="AY9" s="20">
        <v>84</v>
      </c>
      <c r="AZ9" s="10">
        <v>84</v>
      </c>
      <c r="BA9" s="20">
        <v>88.333333333333329</v>
      </c>
      <c r="BB9" s="20">
        <v>78.2</v>
      </c>
      <c r="BC9" s="10">
        <v>87</v>
      </c>
      <c r="BD9" s="20">
        <v>86.666666666666671</v>
      </c>
      <c r="BE9" s="20">
        <v>83.8</v>
      </c>
      <c r="BF9" s="20">
        <v>83.8</v>
      </c>
      <c r="BG9" s="20">
        <v>83</v>
      </c>
      <c r="BH9" s="20">
        <v>87.290499999999994</v>
      </c>
      <c r="BI9" s="20">
        <v>92</v>
      </c>
      <c r="BJ9" s="20">
        <v>80</v>
      </c>
      <c r="BK9" s="21">
        <f t="shared" si="3"/>
        <v>85.280954545454534</v>
      </c>
      <c r="BL9" s="20">
        <v>90</v>
      </c>
      <c r="BM9" s="20">
        <v>80</v>
      </c>
      <c r="BN9" s="20">
        <v>80</v>
      </c>
      <c r="BO9" s="20">
        <v>90</v>
      </c>
      <c r="BP9" s="21">
        <f t="shared" si="4"/>
        <v>85</v>
      </c>
      <c r="BQ9" s="10">
        <v>92</v>
      </c>
      <c r="BR9" s="10">
        <v>93</v>
      </c>
      <c r="BS9" s="22">
        <f t="shared" si="5"/>
        <v>92.5</v>
      </c>
      <c r="BT9" s="24">
        <v>85</v>
      </c>
      <c r="BU9" s="24">
        <v>84</v>
      </c>
      <c r="BV9" s="24">
        <v>85</v>
      </c>
      <c r="BW9" s="24">
        <v>87</v>
      </c>
      <c r="BX9" s="24">
        <v>0</v>
      </c>
      <c r="BY9" s="24">
        <v>90</v>
      </c>
      <c r="BZ9" s="24">
        <v>92.5</v>
      </c>
      <c r="CA9" s="24">
        <v>80</v>
      </c>
      <c r="CB9" s="24">
        <v>81</v>
      </c>
      <c r="CC9" s="24">
        <v>85</v>
      </c>
      <c r="CD9" s="24">
        <v>85</v>
      </c>
      <c r="CE9" s="24">
        <v>87</v>
      </c>
      <c r="CF9" s="21">
        <f t="shared" si="6"/>
        <v>85.590909090909093</v>
      </c>
      <c r="CG9" s="8">
        <f>IFERROR(AVERAGEIF(BT9:CE9,"&lt;&gt;0"),"")</f>
        <v>85.590909090909093</v>
      </c>
    </row>
    <row r="10" spans="1:85" x14ac:dyDescent="0.25">
      <c r="A10" s="5">
        <v>4</v>
      </c>
      <c r="B10" s="11" t="s">
        <v>34</v>
      </c>
      <c r="C10" s="11" t="s">
        <v>63</v>
      </c>
      <c r="D10" s="11">
        <v>102308344</v>
      </c>
      <c r="E10" s="6" t="s">
        <v>16</v>
      </c>
      <c r="F10" s="6" t="s">
        <v>17</v>
      </c>
      <c r="G10" s="11" t="s">
        <v>86</v>
      </c>
      <c r="H10" s="15">
        <v>39347</v>
      </c>
      <c r="I10" s="11" t="s">
        <v>91</v>
      </c>
      <c r="J10" s="6">
        <v>2023</v>
      </c>
      <c r="K10" s="11" t="s">
        <v>18</v>
      </c>
      <c r="L10" s="11" t="s">
        <v>97</v>
      </c>
      <c r="M10" s="19">
        <v>80</v>
      </c>
      <c r="N10" s="19">
        <v>79</v>
      </c>
      <c r="O10" s="19">
        <v>80</v>
      </c>
      <c r="P10" s="19">
        <v>78</v>
      </c>
      <c r="Q10" s="19">
        <v>76.666666666666671</v>
      </c>
      <c r="R10" s="19">
        <v>83</v>
      </c>
      <c r="S10" s="19">
        <v>80</v>
      </c>
      <c r="T10" s="19">
        <v>79</v>
      </c>
      <c r="U10" s="19">
        <v>73</v>
      </c>
      <c r="V10" s="19">
        <v>83</v>
      </c>
      <c r="W10" s="19">
        <v>71</v>
      </c>
      <c r="X10" s="19">
        <v>85</v>
      </c>
      <c r="Y10" s="18">
        <f t="shared" si="0"/>
        <v>78.972222222222229</v>
      </c>
      <c r="Z10" s="19">
        <v>81</v>
      </c>
      <c r="AA10" s="19">
        <v>80</v>
      </c>
      <c r="AB10" s="19">
        <v>75</v>
      </c>
      <c r="AC10" s="19">
        <v>83</v>
      </c>
      <c r="AD10" s="19">
        <v>82.5</v>
      </c>
      <c r="AE10" s="19">
        <v>83</v>
      </c>
      <c r="AF10" s="19">
        <v>80</v>
      </c>
      <c r="AG10" s="19">
        <v>77</v>
      </c>
      <c r="AH10" s="19">
        <v>75</v>
      </c>
      <c r="AI10" s="19">
        <v>80.95</v>
      </c>
      <c r="AJ10" s="19">
        <v>75</v>
      </c>
      <c r="AK10" s="19">
        <v>80.71052631578948</v>
      </c>
      <c r="AL10" s="18">
        <f t="shared" si="1"/>
        <v>79.430043859649132</v>
      </c>
      <c r="AM10" s="19">
        <v>79.666666666666671</v>
      </c>
      <c r="AN10" s="12">
        <v>90</v>
      </c>
      <c r="AO10" s="19">
        <v>80.518518518518519</v>
      </c>
      <c r="AP10" s="19">
        <v>84.199999999999989</v>
      </c>
      <c r="AQ10" s="12">
        <v>82</v>
      </c>
      <c r="AR10" s="12">
        <v>81</v>
      </c>
      <c r="AS10" s="12">
        <v>78</v>
      </c>
      <c r="AT10" s="19">
        <v>82.247142857142848</v>
      </c>
      <c r="AU10" s="12">
        <v>85</v>
      </c>
      <c r="AV10" s="19">
        <v>85</v>
      </c>
      <c r="AW10" s="19">
        <v>85.125</v>
      </c>
      <c r="AX10" s="21">
        <f t="shared" si="2"/>
        <v>81.561785714285719</v>
      </c>
      <c r="AY10" s="19">
        <v>84</v>
      </c>
      <c r="AZ10" s="12">
        <v>91</v>
      </c>
      <c r="BA10" s="19">
        <v>86.666666666666671</v>
      </c>
      <c r="BB10" s="19">
        <v>80.400000000000006</v>
      </c>
      <c r="BC10" s="12">
        <v>82</v>
      </c>
      <c r="BD10" s="19">
        <v>83.666666666666671</v>
      </c>
      <c r="BE10" s="19">
        <v>84.3</v>
      </c>
      <c r="BF10" s="19">
        <v>84.3</v>
      </c>
      <c r="BG10" s="19">
        <v>86</v>
      </c>
      <c r="BH10" s="19">
        <v>87.034346153846158</v>
      </c>
      <c r="BI10" s="19">
        <v>89.666666666666671</v>
      </c>
      <c r="BJ10" s="19">
        <v>83.375</v>
      </c>
      <c r="BK10" s="21">
        <f t="shared" si="3"/>
        <v>85.366758741258749</v>
      </c>
      <c r="BL10" s="19">
        <v>95</v>
      </c>
      <c r="BM10" s="19">
        <v>100</v>
      </c>
      <c r="BN10" s="19">
        <v>90</v>
      </c>
      <c r="BO10" s="19">
        <v>90</v>
      </c>
      <c r="BP10" s="21">
        <f t="shared" si="4"/>
        <v>93.75</v>
      </c>
      <c r="BQ10" s="12">
        <v>91</v>
      </c>
      <c r="BR10" s="12">
        <v>97</v>
      </c>
      <c r="BS10" s="22">
        <f t="shared" si="5"/>
        <v>94</v>
      </c>
      <c r="BT10" s="23">
        <v>83</v>
      </c>
      <c r="BU10" s="23">
        <v>91</v>
      </c>
      <c r="BV10" s="23">
        <v>85</v>
      </c>
      <c r="BW10" s="23">
        <v>89</v>
      </c>
      <c r="BX10" s="23">
        <v>0</v>
      </c>
      <c r="BY10" s="23">
        <v>90</v>
      </c>
      <c r="BZ10" s="23">
        <v>94</v>
      </c>
      <c r="CA10" s="23">
        <v>80</v>
      </c>
      <c r="CB10" s="23">
        <v>80</v>
      </c>
      <c r="CC10" s="23">
        <v>85</v>
      </c>
      <c r="CD10" s="23">
        <v>95</v>
      </c>
      <c r="CE10" s="23">
        <v>87</v>
      </c>
      <c r="CF10" s="21">
        <f t="shared" si="6"/>
        <v>87.181818181818187</v>
      </c>
      <c r="CG10" s="8">
        <f>IFERROR(AVERAGEIF(BT10:CE10,"&lt;&gt;0"),"")</f>
        <v>87.181818181818187</v>
      </c>
    </row>
    <row r="11" spans="1:85" x14ac:dyDescent="0.25">
      <c r="A11" s="5">
        <v>5</v>
      </c>
      <c r="B11" s="11" t="s">
        <v>35</v>
      </c>
      <c r="C11" s="11" t="s">
        <v>64</v>
      </c>
      <c r="D11" s="11">
        <v>102308346</v>
      </c>
      <c r="E11" s="6" t="s">
        <v>16</v>
      </c>
      <c r="F11" s="6" t="s">
        <v>17</v>
      </c>
      <c r="G11" s="11" t="s">
        <v>86</v>
      </c>
      <c r="H11" s="15">
        <v>39657</v>
      </c>
      <c r="I11" s="11" t="s">
        <v>92</v>
      </c>
      <c r="J11" s="6">
        <v>2023</v>
      </c>
      <c r="K11" s="11" t="s">
        <v>18</v>
      </c>
      <c r="L11" s="11" t="s">
        <v>98</v>
      </c>
      <c r="M11" s="19">
        <v>80</v>
      </c>
      <c r="N11" s="19">
        <v>76</v>
      </c>
      <c r="O11" s="19">
        <v>75</v>
      </c>
      <c r="P11" s="19">
        <v>75</v>
      </c>
      <c r="Q11" s="19">
        <v>75.333333333333329</v>
      </c>
      <c r="R11" s="19">
        <v>90</v>
      </c>
      <c r="S11" s="19">
        <v>84</v>
      </c>
      <c r="T11" s="19">
        <v>76</v>
      </c>
      <c r="U11" s="19">
        <v>80</v>
      </c>
      <c r="V11" s="19">
        <v>81.588000000000008</v>
      </c>
      <c r="W11" s="19">
        <v>73</v>
      </c>
      <c r="X11" s="19">
        <v>85.563000000000002</v>
      </c>
      <c r="Y11" s="18">
        <f t="shared" si="0"/>
        <v>79.290361111111096</v>
      </c>
      <c r="Z11" s="19">
        <v>81</v>
      </c>
      <c r="AA11" s="19">
        <v>84</v>
      </c>
      <c r="AB11" s="19">
        <v>75</v>
      </c>
      <c r="AC11" s="19">
        <v>81</v>
      </c>
      <c r="AD11" s="19">
        <v>84.7</v>
      </c>
      <c r="AE11" s="19">
        <v>89</v>
      </c>
      <c r="AF11" s="19">
        <v>87</v>
      </c>
      <c r="AG11" s="19">
        <v>79</v>
      </c>
      <c r="AH11" s="19">
        <v>82</v>
      </c>
      <c r="AI11" s="19">
        <v>76.400000000000006</v>
      </c>
      <c r="AJ11" s="19">
        <v>80</v>
      </c>
      <c r="AK11" s="19">
        <v>82.5</v>
      </c>
      <c r="AL11" s="18">
        <f t="shared" si="1"/>
        <v>81.8</v>
      </c>
      <c r="AM11" s="19">
        <v>81</v>
      </c>
      <c r="AN11" s="12">
        <v>82</v>
      </c>
      <c r="AO11" s="19">
        <v>86.027777777777771</v>
      </c>
      <c r="AP11" s="19">
        <v>72.2</v>
      </c>
      <c r="AQ11" s="12">
        <v>85</v>
      </c>
      <c r="AR11" s="12">
        <v>83</v>
      </c>
      <c r="AS11" s="12">
        <v>87</v>
      </c>
      <c r="AT11" s="19">
        <v>82.439000000000007</v>
      </c>
      <c r="AU11" s="12">
        <v>86</v>
      </c>
      <c r="AV11" s="19">
        <v>86</v>
      </c>
      <c r="AW11" s="19">
        <v>82.125</v>
      </c>
      <c r="AX11" s="21">
        <f t="shared" si="2"/>
        <v>84.609750000000005</v>
      </c>
      <c r="AY11" s="19">
        <v>84</v>
      </c>
      <c r="AZ11" s="12">
        <v>85</v>
      </c>
      <c r="BA11" s="19">
        <v>87.666666666666671</v>
      </c>
      <c r="BB11" s="19">
        <v>75.5</v>
      </c>
      <c r="BC11" s="12">
        <v>85</v>
      </c>
      <c r="BD11" s="19">
        <v>90</v>
      </c>
      <c r="BE11" s="19">
        <v>84.9</v>
      </c>
      <c r="BF11" s="19">
        <v>84.9</v>
      </c>
      <c r="BG11" s="19">
        <v>91</v>
      </c>
      <c r="BH11" s="19">
        <v>84.118499999999997</v>
      </c>
      <c r="BI11" s="19">
        <v>91.333333333333329</v>
      </c>
      <c r="BJ11" s="19">
        <v>77</v>
      </c>
      <c r="BK11" s="21">
        <f t="shared" si="3"/>
        <v>85.765318181818188</v>
      </c>
      <c r="BL11" s="19">
        <v>88</v>
      </c>
      <c r="BM11" s="19">
        <v>90</v>
      </c>
      <c r="BN11" s="19">
        <v>90</v>
      </c>
      <c r="BO11" s="19">
        <v>94</v>
      </c>
      <c r="BP11" s="21">
        <f t="shared" si="4"/>
        <v>90.5</v>
      </c>
      <c r="BQ11" s="12">
        <v>76</v>
      </c>
      <c r="BR11" s="12">
        <v>78</v>
      </c>
      <c r="BS11" s="22">
        <f t="shared" si="5"/>
        <v>77</v>
      </c>
      <c r="BT11" s="23">
        <v>85</v>
      </c>
      <c r="BU11" s="23">
        <v>87</v>
      </c>
      <c r="BV11" s="23">
        <v>85</v>
      </c>
      <c r="BW11" s="23">
        <v>88</v>
      </c>
      <c r="BX11" s="23">
        <v>0</v>
      </c>
      <c r="BY11" s="23">
        <v>90</v>
      </c>
      <c r="BZ11" s="23">
        <v>77</v>
      </c>
      <c r="CA11" s="23">
        <v>80</v>
      </c>
      <c r="CB11" s="23">
        <v>79</v>
      </c>
      <c r="CC11" s="23">
        <v>85</v>
      </c>
      <c r="CD11" s="23">
        <v>80</v>
      </c>
      <c r="CE11" s="23">
        <v>86</v>
      </c>
      <c r="CF11" s="21">
        <f t="shared" si="6"/>
        <v>83.818181818181813</v>
      </c>
      <c r="CG11" s="8">
        <f>IFERROR(AVERAGEIF(BT11:CE11,"&lt;&gt;0"),"")</f>
        <v>83.818181818181813</v>
      </c>
    </row>
    <row r="12" spans="1:85" x14ac:dyDescent="0.25">
      <c r="A12" s="5">
        <v>6</v>
      </c>
      <c r="B12" s="9" t="s">
        <v>36</v>
      </c>
      <c r="C12" s="9" t="s">
        <v>65</v>
      </c>
      <c r="D12" s="9">
        <v>102308347</v>
      </c>
      <c r="E12" s="6" t="s">
        <v>16</v>
      </c>
      <c r="F12" s="6" t="s">
        <v>17</v>
      </c>
      <c r="G12" s="9" t="s">
        <v>88</v>
      </c>
      <c r="H12" s="14">
        <v>39277</v>
      </c>
      <c r="I12" s="9" t="s">
        <v>91</v>
      </c>
      <c r="J12" s="6">
        <v>2023</v>
      </c>
      <c r="K12" s="9" t="s">
        <v>18</v>
      </c>
      <c r="L12" s="9" t="s">
        <v>99</v>
      </c>
      <c r="M12" s="20">
        <v>79</v>
      </c>
      <c r="N12" s="20">
        <v>81</v>
      </c>
      <c r="O12" s="20">
        <v>73</v>
      </c>
      <c r="P12" s="20">
        <v>75</v>
      </c>
      <c r="Q12" s="20">
        <v>77.666666666666671</v>
      </c>
      <c r="R12" s="20">
        <v>90</v>
      </c>
      <c r="S12" s="20">
        <v>78</v>
      </c>
      <c r="T12" s="20">
        <v>73</v>
      </c>
      <c r="U12" s="20">
        <v>73</v>
      </c>
      <c r="V12" s="20">
        <v>83</v>
      </c>
      <c r="W12" s="20">
        <v>74.333333333333329</v>
      </c>
      <c r="X12" s="20">
        <v>88.876999999999995</v>
      </c>
      <c r="Y12" s="18">
        <f t="shared" si="0"/>
        <v>78.823083333333344</v>
      </c>
      <c r="Z12" s="20">
        <v>80</v>
      </c>
      <c r="AA12" s="20">
        <v>83</v>
      </c>
      <c r="AB12" s="20">
        <v>75</v>
      </c>
      <c r="AC12" s="20">
        <v>80</v>
      </c>
      <c r="AD12" s="20">
        <v>82.9</v>
      </c>
      <c r="AE12" s="20">
        <v>87</v>
      </c>
      <c r="AF12" s="20">
        <v>82</v>
      </c>
      <c r="AG12" s="20">
        <v>74</v>
      </c>
      <c r="AH12" s="20">
        <v>75</v>
      </c>
      <c r="AI12" s="20">
        <v>78.600000000000009</v>
      </c>
      <c r="AJ12" s="20">
        <v>75.333333333333329</v>
      </c>
      <c r="AK12" s="20">
        <v>88.5</v>
      </c>
      <c r="AL12" s="18">
        <f t="shared" si="1"/>
        <v>80.111111111111114</v>
      </c>
      <c r="AM12" s="20">
        <v>80</v>
      </c>
      <c r="AN12" s="10">
        <v>82</v>
      </c>
      <c r="AO12" s="20">
        <v>84.600000000000009</v>
      </c>
      <c r="AP12" s="20">
        <v>85.2</v>
      </c>
      <c r="AQ12" s="10">
        <v>86</v>
      </c>
      <c r="AR12" s="10">
        <v>82</v>
      </c>
      <c r="AS12" s="10">
        <v>94</v>
      </c>
      <c r="AT12" s="20">
        <v>84.879000000000005</v>
      </c>
      <c r="AU12" s="10">
        <v>84</v>
      </c>
      <c r="AV12" s="20">
        <v>84</v>
      </c>
      <c r="AW12" s="20">
        <v>81</v>
      </c>
      <c r="AX12" s="21">
        <f t="shared" si="2"/>
        <v>86.219750000000005</v>
      </c>
      <c r="AY12" s="20">
        <v>84</v>
      </c>
      <c r="AZ12" s="10">
        <v>84</v>
      </c>
      <c r="BA12" s="20">
        <v>88.333333333333329</v>
      </c>
      <c r="BB12" s="20">
        <v>75.599999999999994</v>
      </c>
      <c r="BC12" s="10">
        <v>86</v>
      </c>
      <c r="BD12" s="20">
        <v>81.666666666666671</v>
      </c>
      <c r="BE12" s="20">
        <v>82.75</v>
      </c>
      <c r="BF12" s="20">
        <v>82.75</v>
      </c>
      <c r="BG12" s="20">
        <v>92</v>
      </c>
      <c r="BH12" s="20">
        <v>86.192923076923066</v>
      </c>
      <c r="BI12" s="20">
        <v>90</v>
      </c>
      <c r="BJ12" s="20">
        <v>81</v>
      </c>
      <c r="BK12" s="21">
        <f t="shared" si="3"/>
        <v>84.844811188811178</v>
      </c>
      <c r="BL12" s="20">
        <v>87</v>
      </c>
      <c r="BM12" s="20">
        <v>90</v>
      </c>
      <c r="BN12" s="20">
        <v>90</v>
      </c>
      <c r="BO12" s="20">
        <v>90</v>
      </c>
      <c r="BP12" s="21">
        <f t="shared" si="4"/>
        <v>89.25</v>
      </c>
      <c r="BQ12" s="10">
        <v>79</v>
      </c>
      <c r="BR12" s="10">
        <v>87</v>
      </c>
      <c r="BS12" s="22">
        <f t="shared" si="5"/>
        <v>83</v>
      </c>
      <c r="BT12" s="24">
        <v>84</v>
      </c>
      <c r="BU12" s="24">
        <v>86</v>
      </c>
      <c r="BV12" s="24">
        <v>85</v>
      </c>
      <c r="BW12" s="24">
        <v>89</v>
      </c>
      <c r="BX12" s="24">
        <v>0</v>
      </c>
      <c r="BY12" s="24">
        <v>90</v>
      </c>
      <c r="BZ12" s="24">
        <v>83</v>
      </c>
      <c r="CA12" s="24">
        <v>80</v>
      </c>
      <c r="CB12" s="24">
        <v>80</v>
      </c>
      <c r="CC12" s="24">
        <v>85</v>
      </c>
      <c r="CD12" s="24">
        <v>80</v>
      </c>
      <c r="CE12" s="24">
        <v>86</v>
      </c>
      <c r="CF12" s="21">
        <f t="shared" si="6"/>
        <v>84.36363636363636</v>
      </c>
      <c r="CG12" s="8">
        <f>IFERROR(AVERAGEIF(BT12:CE12,"&lt;&gt;0"),"")</f>
        <v>84.36363636363636</v>
      </c>
    </row>
    <row r="13" spans="1:85" x14ac:dyDescent="0.25">
      <c r="A13" s="5">
        <v>7</v>
      </c>
      <c r="B13" s="11" t="s">
        <v>37</v>
      </c>
      <c r="C13" s="11" t="s">
        <v>66</v>
      </c>
      <c r="D13" s="11">
        <v>102308348</v>
      </c>
      <c r="E13" s="6" t="s">
        <v>16</v>
      </c>
      <c r="F13" s="6" t="s">
        <v>17</v>
      </c>
      <c r="G13" s="11" t="s">
        <v>87</v>
      </c>
      <c r="H13" s="15">
        <v>39546</v>
      </c>
      <c r="I13" s="11" t="s">
        <v>91</v>
      </c>
      <c r="J13" s="6">
        <v>2023</v>
      </c>
      <c r="K13" s="11" t="s">
        <v>18</v>
      </c>
      <c r="L13" s="11" t="s">
        <v>100</v>
      </c>
      <c r="M13" s="19">
        <v>81</v>
      </c>
      <c r="N13" s="19">
        <v>76</v>
      </c>
      <c r="O13" s="19">
        <v>74</v>
      </c>
      <c r="P13" s="19">
        <v>75</v>
      </c>
      <c r="Q13" s="19">
        <v>81.666666666666671</v>
      </c>
      <c r="R13" s="19">
        <v>85</v>
      </c>
      <c r="S13" s="19">
        <v>84</v>
      </c>
      <c r="T13" s="19">
        <v>74</v>
      </c>
      <c r="U13" s="19">
        <v>73</v>
      </c>
      <c r="V13" s="19">
        <v>78.52000000000001</v>
      </c>
      <c r="W13" s="19">
        <v>73.666666666666671</v>
      </c>
      <c r="X13" s="19">
        <v>86.623000000000005</v>
      </c>
      <c r="Y13" s="18">
        <f t="shared" si="0"/>
        <v>78.53969444444445</v>
      </c>
      <c r="Z13" s="19">
        <v>81</v>
      </c>
      <c r="AA13" s="19">
        <v>83</v>
      </c>
      <c r="AB13" s="19">
        <v>75</v>
      </c>
      <c r="AC13" s="19">
        <v>82</v>
      </c>
      <c r="AD13" s="19">
        <v>84.7</v>
      </c>
      <c r="AE13" s="19">
        <v>85</v>
      </c>
      <c r="AF13" s="19">
        <v>80</v>
      </c>
      <c r="AG13" s="19">
        <v>75</v>
      </c>
      <c r="AH13" s="19">
        <v>75</v>
      </c>
      <c r="AI13" s="19">
        <v>78.350000000000009</v>
      </c>
      <c r="AJ13" s="19">
        <v>78.666666666666671</v>
      </c>
      <c r="AK13" s="19">
        <v>81.21052631578948</v>
      </c>
      <c r="AL13" s="18">
        <f t="shared" si="1"/>
        <v>79.910599415204686</v>
      </c>
      <c r="AM13" s="19">
        <v>82.666666666666671</v>
      </c>
      <c r="AN13" s="12">
        <v>82</v>
      </c>
      <c r="AO13" s="19">
        <v>85.444444444444443</v>
      </c>
      <c r="AP13" s="19">
        <v>84</v>
      </c>
      <c r="AQ13" s="12">
        <v>83</v>
      </c>
      <c r="AR13" s="12">
        <v>79</v>
      </c>
      <c r="AS13" s="12">
        <v>93</v>
      </c>
      <c r="AT13" s="19">
        <v>87.316000000000003</v>
      </c>
      <c r="AU13" s="12">
        <v>86</v>
      </c>
      <c r="AV13" s="19">
        <v>86</v>
      </c>
      <c r="AW13" s="19">
        <v>86.25</v>
      </c>
      <c r="AX13" s="21">
        <f t="shared" si="2"/>
        <v>86.329000000000008</v>
      </c>
      <c r="AY13" s="19">
        <v>84</v>
      </c>
      <c r="AZ13" s="12">
        <v>86</v>
      </c>
      <c r="BA13" s="19">
        <v>90</v>
      </c>
      <c r="BB13" s="19">
        <v>83</v>
      </c>
      <c r="BC13" s="12">
        <v>83</v>
      </c>
      <c r="BD13" s="19">
        <v>85.666666666666671</v>
      </c>
      <c r="BE13" s="19">
        <v>83.7</v>
      </c>
      <c r="BF13" s="19">
        <v>83.7</v>
      </c>
      <c r="BG13" s="19">
        <v>93</v>
      </c>
      <c r="BH13" s="19">
        <v>88.66</v>
      </c>
      <c r="BI13" s="19">
        <v>93.333333333333329</v>
      </c>
      <c r="BJ13" s="19">
        <v>82.25</v>
      </c>
      <c r="BK13" s="21">
        <f t="shared" si="3"/>
        <v>86.732727272727274</v>
      </c>
      <c r="BL13" s="19">
        <v>84</v>
      </c>
      <c r="BM13" s="19">
        <v>92</v>
      </c>
      <c r="BN13" s="19">
        <v>95</v>
      </c>
      <c r="BO13" s="19">
        <v>98</v>
      </c>
      <c r="BP13" s="21">
        <f t="shared" si="4"/>
        <v>92.25</v>
      </c>
      <c r="BQ13" s="12">
        <v>95</v>
      </c>
      <c r="BR13" s="12">
        <v>96</v>
      </c>
      <c r="BS13" s="22">
        <f t="shared" si="5"/>
        <v>95.5</v>
      </c>
      <c r="BT13" s="23">
        <v>85</v>
      </c>
      <c r="BU13" s="23">
        <v>97</v>
      </c>
      <c r="BV13" s="23">
        <v>85</v>
      </c>
      <c r="BW13" s="23">
        <v>89</v>
      </c>
      <c r="BX13" s="23">
        <v>0</v>
      </c>
      <c r="BY13" s="23">
        <v>90</v>
      </c>
      <c r="BZ13" s="23">
        <v>95.5</v>
      </c>
      <c r="CA13" s="23">
        <v>80</v>
      </c>
      <c r="CB13" s="23">
        <v>86</v>
      </c>
      <c r="CC13" s="23">
        <v>85</v>
      </c>
      <c r="CD13" s="23">
        <v>83</v>
      </c>
      <c r="CE13" s="23">
        <v>86</v>
      </c>
      <c r="CF13" s="21">
        <f t="shared" si="6"/>
        <v>87.409090909090907</v>
      </c>
      <c r="CG13" s="8">
        <f>IFERROR(AVERAGEIF(BT13:CE13,"&lt;&gt;0"),"")</f>
        <v>87.409090909090907</v>
      </c>
    </row>
    <row r="14" spans="1:85" x14ac:dyDescent="0.25">
      <c r="A14" s="5">
        <v>8</v>
      </c>
      <c r="B14" s="9" t="s">
        <v>38</v>
      </c>
      <c r="C14" s="9" t="s">
        <v>67</v>
      </c>
      <c r="D14" s="9">
        <v>102308349</v>
      </c>
      <c r="E14" s="6" t="s">
        <v>16</v>
      </c>
      <c r="F14" s="6" t="s">
        <v>17</v>
      </c>
      <c r="G14" s="9" t="s">
        <v>86</v>
      </c>
      <c r="H14" s="14">
        <v>39407</v>
      </c>
      <c r="I14" s="9" t="s">
        <v>91</v>
      </c>
      <c r="J14" s="6">
        <v>2023</v>
      </c>
      <c r="K14" s="9" t="s">
        <v>18</v>
      </c>
      <c r="L14" s="9" t="s">
        <v>101</v>
      </c>
      <c r="M14" s="20">
        <v>78</v>
      </c>
      <c r="N14" s="20">
        <v>78</v>
      </c>
      <c r="O14" s="20">
        <v>70</v>
      </c>
      <c r="P14" s="20">
        <v>75</v>
      </c>
      <c r="Q14" s="20">
        <v>78</v>
      </c>
      <c r="R14" s="20">
        <v>87</v>
      </c>
      <c r="S14" s="20">
        <v>80</v>
      </c>
      <c r="T14" s="20">
        <v>75</v>
      </c>
      <c r="U14" s="20">
        <v>73</v>
      </c>
      <c r="V14" s="20">
        <v>78.996000000000009</v>
      </c>
      <c r="W14" s="20">
        <v>73</v>
      </c>
      <c r="X14" s="20">
        <v>80.325000000000003</v>
      </c>
      <c r="Y14" s="18">
        <f t="shared" si="0"/>
        <v>77.193416666666664</v>
      </c>
      <c r="Z14" s="20">
        <v>79</v>
      </c>
      <c r="AA14" s="20">
        <v>80</v>
      </c>
      <c r="AB14" s="20">
        <v>75</v>
      </c>
      <c r="AC14" s="20">
        <v>80</v>
      </c>
      <c r="AD14" s="20">
        <v>83.9</v>
      </c>
      <c r="AE14" s="20">
        <v>87</v>
      </c>
      <c r="AF14" s="20">
        <v>80</v>
      </c>
      <c r="AG14" s="20">
        <v>74</v>
      </c>
      <c r="AH14" s="20">
        <v>75</v>
      </c>
      <c r="AI14" s="20">
        <v>78.5</v>
      </c>
      <c r="AJ14" s="20">
        <v>83</v>
      </c>
      <c r="AK14" s="20">
        <v>81.21052631578948</v>
      </c>
      <c r="AL14" s="18">
        <f t="shared" si="1"/>
        <v>79.717543859649126</v>
      </c>
      <c r="AM14" s="20">
        <v>80</v>
      </c>
      <c r="AN14" s="10">
        <v>82</v>
      </c>
      <c r="AO14" s="20">
        <v>82.592592592592595</v>
      </c>
      <c r="AP14" s="20">
        <v>89</v>
      </c>
      <c r="AQ14" s="10">
        <v>85</v>
      </c>
      <c r="AR14" s="10">
        <v>79</v>
      </c>
      <c r="AS14" s="10">
        <v>91</v>
      </c>
      <c r="AT14" s="20">
        <v>81.968714285714285</v>
      </c>
      <c r="AU14" s="10">
        <v>84</v>
      </c>
      <c r="AV14" s="20">
        <v>84</v>
      </c>
      <c r="AW14" s="20">
        <v>81.75</v>
      </c>
      <c r="AX14" s="21">
        <f t="shared" si="2"/>
        <v>83.992178571428568</v>
      </c>
      <c r="AY14" s="20">
        <v>84</v>
      </c>
      <c r="AZ14" s="10">
        <v>89</v>
      </c>
      <c r="BA14" s="20">
        <v>89.333333333333329</v>
      </c>
      <c r="BB14" s="20">
        <v>76</v>
      </c>
      <c r="BC14" s="10">
        <v>85</v>
      </c>
      <c r="BD14" s="20">
        <v>84.333333333333329</v>
      </c>
      <c r="BE14" s="20">
        <v>84</v>
      </c>
      <c r="BF14" s="20">
        <v>84</v>
      </c>
      <c r="BG14" s="20">
        <v>89</v>
      </c>
      <c r="BH14" s="20">
        <v>83.220615384615385</v>
      </c>
      <c r="BI14" s="20">
        <v>89.666666666666671</v>
      </c>
      <c r="BJ14" s="20">
        <v>77</v>
      </c>
      <c r="BK14" s="21">
        <f t="shared" si="3"/>
        <v>85.232177156177144</v>
      </c>
      <c r="BL14" s="20">
        <v>95</v>
      </c>
      <c r="BM14" s="20">
        <v>90</v>
      </c>
      <c r="BN14" s="20">
        <v>93</v>
      </c>
      <c r="BO14" s="20">
        <v>92</v>
      </c>
      <c r="BP14" s="21">
        <f t="shared" si="4"/>
        <v>92.5</v>
      </c>
      <c r="BQ14" s="10" t="s">
        <v>121</v>
      </c>
      <c r="BR14" s="10">
        <v>78</v>
      </c>
      <c r="BS14" s="22">
        <f t="shared" si="5"/>
        <v>78</v>
      </c>
      <c r="BT14" s="24">
        <v>82</v>
      </c>
      <c r="BU14" s="24">
        <v>89</v>
      </c>
      <c r="BV14" s="24">
        <v>85</v>
      </c>
      <c r="BW14" s="24">
        <v>88</v>
      </c>
      <c r="BX14" s="24">
        <v>0</v>
      </c>
      <c r="BY14" s="24">
        <v>90</v>
      </c>
      <c r="BZ14" s="24">
        <v>78</v>
      </c>
      <c r="CA14" s="24">
        <v>78</v>
      </c>
      <c r="CB14" s="24">
        <v>79</v>
      </c>
      <c r="CC14" s="24">
        <v>85</v>
      </c>
      <c r="CD14" s="24">
        <v>95</v>
      </c>
      <c r="CE14" s="24">
        <v>86</v>
      </c>
      <c r="CF14" s="21">
        <f t="shared" si="6"/>
        <v>85</v>
      </c>
      <c r="CG14" s="8">
        <f>IFERROR(AVERAGEIF(BT14:CE14,"&lt;&gt;0"),"")</f>
        <v>85</v>
      </c>
    </row>
    <row r="15" spans="1:85" x14ac:dyDescent="0.25">
      <c r="A15" s="5">
        <v>9</v>
      </c>
      <c r="B15" s="11" t="s">
        <v>39</v>
      </c>
      <c r="C15" s="11" t="s">
        <v>68</v>
      </c>
      <c r="D15" s="11">
        <v>102308350</v>
      </c>
      <c r="E15" s="6" t="s">
        <v>16</v>
      </c>
      <c r="F15" s="6" t="s">
        <v>17</v>
      </c>
      <c r="G15" s="11" t="s">
        <v>87</v>
      </c>
      <c r="H15" s="15">
        <v>39286</v>
      </c>
      <c r="I15" s="11" t="s">
        <v>91</v>
      </c>
      <c r="J15" s="6">
        <v>2023</v>
      </c>
      <c r="K15" s="11" t="s">
        <v>18</v>
      </c>
      <c r="L15" s="11" t="s">
        <v>102</v>
      </c>
      <c r="M15" s="19">
        <v>80</v>
      </c>
      <c r="N15" s="19">
        <v>82</v>
      </c>
      <c r="O15" s="19">
        <v>70</v>
      </c>
      <c r="P15" s="19">
        <v>77</v>
      </c>
      <c r="Q15" s="19">
        <v>76.333333333333329</v>
      </c>
      <c r="R15" s="19">
        <v>87.5</v>
      </c>
      <c r="S15" s="19">
        <v>80</v>
      </c>
      <c r="T15" s="19">
        <v>76</v>
      </c>
      <c r="U15" s="19">
        <v>73</v>
      </c>
      <c r="V15" s="19">
        <v>81</v>
      </c>
      <c r="W15" s="19">
        <v>77.333333333333329</v>
      </c>
      <c r="X15" s="19">
        <v>82.782000000000011</v>
      </c>
      <c r="Y15" s="18">
        <f t="shared" si="0"/>
        <v>78.579055555555556</v>
      </c>
      <c r="Z15" s="19">
        <v>80</v>
      </c>
      <c r="AA15" s="19">
        <v>84</v>
      </c>
      <c r="AB15" s="19">
        <v>77</v>
      </c>
      <c r="AC15" s="19">
        <v>83</v>
      </c>
      <c r="AD15" s="19">
        <v>84.7</v>
      </c>
      <c r="AE15" s="19">
        <v>87.5</v>
      </c>
      <c r="AF15" s="19">
        <v>80</v>
      </c>
      <c r="AG15" s="19">
        <v>75</v>
      </c>
      <c r="AH15" s="19">
        <v>75</v>
      </c>
      <c r="AI15" s="19">
        <v>80.7</v>
      </c>
      <c r="AJ15" s="19">
        <v>74.333333333333329</v>
      </c>
      <c r="AK15" s="19">
        <v>86.5</v>
      </c>
      <c r="AL15" s="18">
        <f t="shared" si="1"/>
        <v>80.64444444444446</v>
      </c>
      <c r="AM15" s="19">
        <v>80.666666666666671</v>
      </c>
      <c r="AN15" s="12">
        <v>84</v>
      </c>
      <c r="AO15" s="19">
        <v>85.185185185185176</v>
      </c>
      <c r="AP15" s="19">
        <v>82</v>
      </c>
      <c r="AQ15" s="12">
        <v>82</v>
      </c>
      <c r="AR15" s="12">
        <v>85</v>
      </c>
      <c r="AS15" s="12">
        <v>91</v>
      </c>
      <c r="AT15" s="19">
        <v>84.163714285714278</v>
      </c>
      <c r="AU15" s="12">
        <v>85</v>
      </c>
      <c r="AV15" s="19">
        <v>85</v>
      </c>
      <c r="AW15" s="19">
        <v>83.5</v>
      </c>
      <c r="AX15" s="21">
        <f t="shared" si="2"/>
        <v>86.290928571428566</v>
      </c>
      <c r="AY15" s="19">
        <v>84</v>
      </c>
      <c r="AZ15" s="12">
        <v>85</v>
      </c>
      <c r="BA15" s="19">
        <v>88.333333333333329</v>
      </c>
      <c r="BB15" s="19">
        <v>78.7</v>
      </c>
      <c r="BC15" s="12">
        <v>82</v>
      </c>
      <c r="BD15" s="19">
        <v>82.666666666666671</v>
      </c>
      <c r="BE15" s="19">
        <v>82.55</v>
      </c>
      <c r="BF15" s="19">
        <v>82.55</v>
      </c>
      <c r="BG15" s="19">
        <v>88</v>
      </c>
      <c r="BH15" s="19">
        <v>84.290423076923076</v>
      </c>
      <c r="BI15" s="19">
        <v>92.333333333333329</v>
      </c>
      <c r="BJ15" s="19">
        <v>77</v>
      </c>
      <c r="BK15" s="21">
        <f t="shared" si="3"/>
        <v>84.583977855477855</v>
      </c>
      <c r="BL15" s="19">
        <v>85</v>
      </c>
      <c r="BM15" s="19">
        <v>100</v>
      </c>
      <c r="BN15" s="19">
        <v>94</v>
      </c>
      <c r="BO15" s="19">
        <v>94</v>
      </c>
      <c r="BP15" s="21">
        <f t="shared" si="4"/>
        <v>93.25</v>
      </c>
      <c r="BQ15" s="12" t="s">
        <v>19</v>
      </c>
      <c r="BR15" s="12">
        <v>89</v>
      </c>
      <c r="BS15" s="22">
        <f t="shared" si="5"/>
        <v>89</v>
      </c>
      <c r="BT15" s="23">
        <v>85</v>
      </c>
      <c r="BU15" s="23">
        <v>86</v>
      </c>
      <c r="BV15" s="23">
        <v>85</v>
      </c>
      <c r="BW15" s="23">
        <v>89</v>
      </c>
      <c r="BX15" s="23">
        <v>0</v>
      </c>
      <c r="BY15" s="23">
        <v>95</v>
      </c>
      <c r="BZ15" s="23">
        <v>89</v>
      </c>
      <c r="CA15" s="23">
        <v>80</v>
      </c>
      <c r="CB15" s="23">
        <v>79</v>
      </c>
      <c r="CC15" s="23">
        <v>85</v>
      </c>
      <c r="CD15" s="23">
        <v>85</v>
      </c>
      <c r="CE15" s="23">
        <v>86</v>
      </c>
      <c r="CF15" s="21">
        <f t="shared" si="6"/>
        <v>85.818181818181813</v>
      </c>
      <c r="CG15" s="8">
        <f>IFERROR(AVERAGEIF(BT15:CE15,"&lt;&gt;0"),"")</f>
        <v>85.818181818181813</v>
      </c>
    </row>
    <row r="16" spans="1:85" x14ac:dyDescent="0.25">
      <c r="A16" s="5">
        <v>10</v>
      </c>
      <c r="B16" s="9" t="s">
        <v>40</v>
      </c>
      <c r="C16" s="9" t="s">
        <v>69</v>
      </c>
      <c r="D16" s="9">
        <v>102308351</v>
      </c>
      <c r="E16" s="6" t="s">
        <v>16</v>
      </c>
      <c r="F16" s="6" t="s">
        <v>17</v>
      </c>
      <c r="G16" s="9" t="s">
        <v>87</v>
      </c>
      <c r="H16" s="14">
        <v>39462</v>
      </c>
      <c r="I16" s="9" t="s">
        <v>91</v>
      </c>
      <c r="J16" s="6">
        <v>2023</v>
      </c>
      <c r="K16" s="9" t="s">
        <v>18</v>
      </c>
      <c r="L16" s="9" t="s">
        <v>103</v>
      </c>
      <c r="M16" s="20">
        <v>78</v>
      </c>
      <c r="N16" s="20">
        <v>80</v>
      </c>
      <c r="O16" s="20">
        <v>70</v>
      </c>
      <c r="P16" s="20">
        <v>76</v>
      </c>
      <c r="Q16" s="20">
        <v>77</v>
      </c>
      <c r="R16" s="20">
        <v>87</v>
      </c>
      <c r="S16" s="20">
        <v>80</v>
      </c>
      <c r="T16" s="20">
        <v>75</v>
      </c>
      <c r="U16" s="20">
        <v>73</v>
      </c>
      <c r="V16" s="20">
        <v>79.525999999999996</v>
      </c>
      <c r="W16" s="20">
        <v>71.666666666666671</v>
      </c>
      <c r="X16" s="20">
        <v>83.965000000000003</v>
      </c>
      <c r="Y16" s="18">
        <f t="shared" si="0"/>
        <v>77.596472222222218</v>
      </c>
      <c r="Z16" s="20">
        <v>80</v>
      </c>
      <c r="AA16" s="20">
        <v>85</v>
      </c>
      <c r="AB16" s="20">
        <v>75</v>
      </c>
      <c r="AC16" s="20">
        <v>82</v>
      </c>
      <c r="AD16" s="20">
        <v>83.6</v>
      </c>
      <c r="AE16" s="20">
        <v>87</v>
      </c>
      <c r="AF16" s="20">
        <v>80</v>
      </c>
      <c r="AG16" s="20">
        <v>75</v>
      </c>
      <c r="AH16" s="20">
        <v>75</v>
      </c>
      <c r="AI16" s="20">
        <v>77.25</v>
      </c>
      <c r="AJ16" s="20">
        <v>78.666666666666671</v>
      </c>
      <c r="AK16" s="20">
        <v>81.5</v>
      </c>
      <c r="AL16" s="18">
        <f t="shared" si="1"/>
        <v>80.001388888888883</v>
      </c>
      <c r="AM16" s="20">
        <v>80.333333333333329</v>
      </c>
      <c r="AN16" s="10">
        <v>84</v>
      </c>
      <c r="AO16" s="20">
        <v>81</v>
      </c>
      <c r="AP16" s="20">
        <v>87.2</v>
      </c>
      <c r="AQ16" s="10">
        <v>87</v>
      </c>
      <c r="AR16" s="10">
        <v>82</v>
      </c>
      <c r="AS16" s="10">
        <v>90</v>
      </c>
      <c r="AT16" s="20">
        <v>84.878</v>
      </c>
      <c r="AU16" s="10">
        <v>85</v>
      </c>
      <c r="AV16" s="20">
        <v>85</v>
      </c>
      <c r="AW16" s="20">
        <v>82.875</v>
      </c>
      <c r="AX16" s="21">
        <f t="shared" si="2"/>
        <v>85.469499999999996</v>
      </c>
      <c r="AY16" s="20">
        <v>84</v>
      </c>
      <c r="AZ16" s="10">
        <v>85</v>
      </c>
      <c r="BA16" s="20">
        <v>86.666666666666671</v>
      </c>
      <c r="BB16" s="20">
        <v>75</v>
      </c>
      <c r="BC16" s="10">
        <v>87</v>
      </c>
      <c r="BD16" s="20">
        <v>85</v>
      </c>
      <c r="BE16" s="20">
        <v>82.1</v>
      </c>
      <c r="BF16" s="20">
        <v>82.1</v>
      </c>
      <c r="BG16" s="20">
        <v>95</v>
      </c>
      <c r="BH16" s="20">
        <v>81.517923076923068</v>
      </c>
      <c r="BI16" s="20">
        <v>92</v>
      </c>
      <c r="BJ16" s="20">
        <v>77</v>
      </c>
      <c r="BK16" s="21">
        <f t="shared" si="3"/>
        <v>85.034962703962705</v>
      </c>
      <c r="BL16" s="20">
        <v>87</v>
      </c>
      <c r="BM16" s="20">
        <v>87</v>
      </c>
      <c r="BN16" s="20">
        <v>90</v>
      </c>
      <c r="BO16" s="20">
        <v>92</v>
      </c>
      <c r="BP16" s="21">
        <f t="shared" si="4"/>
        <v>89</v>
      </c>
      <c r="BQ16" s="10">
        <v>86</v>
      </c>
      <c r="BR16" s="10">
        <v>88</v>
      </c>
      <c r="BS16" s="22">
        <f t="shared" si="5"/>
        <v>87</v>
      </c>
      <c r="BT16" s="24">
        <v>83</v>
      </c>
      <c r="BU16" s="24">
        <v>86</v>
      </c>
      <c r="BV16" s="24">
        <v>85</v>
      </c>
      <c r="BW16" s="24">
        <v>89</v>
      </c>
      <c r="BX16" s="24">
        <v>0</v>
      </c>
      <c r="BY16" s="24">
        <v>90</v>
      </c>
      <c r="BZ16" s="24">
        <v>87</v>
      </c>
      <c r="CA16" s="24">
        <v>80</v>
      </c>
      <c r="CB16" s="24">
        <v>79</v>
      </c>
      <c r="CC16" s="24">
        <v>85</v>
      </c>
      <c r="CD16" s="24">
        <v>80</v>
      </c>
      <c r="CE16" s="24">
        <v>86</v>
      </c>
      <c r="CF16" s="21">
        <f t="shared" si="6"/>
        <v>84.545454545454547</v>
      </c>
      <c r="CG16" s="8">
        <f>IFERROR(AVERAGEIF(BT16:CE16,"&lt;&gt;0"),"")</f>
        <v>84.545454545454547</v>
      </c>
    </row>
    <row r="17" spans="1:85" x14ac:dyDescent="0.25">
      <c r="A17" s="5">
        <v>11</v>
      </c>
      <c r="B17" s="11" t="s">
        <v>41</v>
      </c>
      <c r="C17" s="11" t="s">
        <v>70</v>
      </c>
      <c r="D17" s="11">
        <v>102308352</v>
      </c>
      <c r="E17" s="6" t="s">
        <v>16</v>
      </c>
      <c r="F17" s="6" t="s">
        <v>17</v>
      </c>
      <c r="G17" s="11" t="s">
        <v>87</v>
      </c>
      <c r="H17" s="15">
        <v>39583</v>
      </c>
      <c r="I17" s="11" t="s">
        <v>92</v>
      </c>
      <c r="J17" s="6">
        <v>2023</v>
      </c>
      <c r="K17" s="11" t="s">
        <v>18</v>
      </c>
      <c r="L17" s="11" t="s">
        <v>104</v>
      </c>
      <c r="M17" s="19">
        <v>81</v>
      </c>
      <c r="N17" s="19">
        <v>82</v>
      </c>
      <c r="O17" s="19">
        <v>88</v>
      </c>
      <c r="P17" s="19">
        <v>75</v>
      </c>
      <c r="Q17" s="19">
        <v>77.333333333333329</v>
      </c>
      <c r="R17" s="19">
        <v>87</v>
      </c>
      <c r="S17" s="19">
        <v>85</v>
      </c>
      <c r="T17" s="19">
        <v>79</v>
      </c>
      <c r="U17" s="19">
        <v>78</v>
      </c>
      <c r="V17" s="19">
        <v>78</v>
      </c>
      <c r="W17" s="19">
        <v>72.333333333333329</v>
      </c>
      <c r="X17" s="19">
        <v>83.924999999999997</v>
      </c>
      <c r="Y17" s="18">
        <f t="shared" si="0"/>
        <v>80.549305555555549</v>
      </c>
      <c r="Z17" s="19">
        <v>82</v>
      </c>
      <c r="AA17" s="19">
        <v>84</v>
      </c>
      <c r="AB17" s="19">
        <v>70</v>
      </c>
      <c r="AC17" s="19">
        <v>80</v>
      </c>
      <c r="AD17" s="19">
        <v>84.5</v>
      </c>
      <c r="AE17" s="19">
        <v>89</v>
      </c>
      <c r="AF17" s="19">
        <v>87</v>
      </c>
      <c r="AG17" s="19">
        <v>79</v>
      </c>
      <c r="AH17" s="19">
        <v>80</v>
      </c>
      <c r="AI17" s="19">
        <v>77.150000000000006</v>
      </c>
      <c r="AJ17" s="19">
        <v>81.333333333333329</v>
      </c>
      <c r="AK17" s="19">
        <v>81.5</v>
      </c>
      <c r="AL17" s="18">
        <f t="shared" si="1"/>
        <v>81.290277777777774</v>
      </c>
      <c r="AM17" s="19">
        <v>78.666666666666671</v>
      </c>
      <c r="AN17" s="12">
        <v>84</v>
      </c>
      <c r="AO17" s="19">
        <v>87.305555555555557</v>
      </c>
      <c r="AP17" s="19">
        <v>76.400000000000006</v>
      </c>
      <c r="AQ17" s="12">
        <v>83</v>
      </c>
      <c r="AR17" s="12">
        <v>85</v>
      </c>
      <c r="AS17" s="12">
        <v>88</v>
      </c>
      <c r="AT17" s="19">
        <v>77.333714285714279</v>
      </c>
      <c r="AU17" s="12">
        <v>86</v>
      </c>
      <c r="AV17" s="19">
        <v>86</v>
      </c>
      <c r="AW17" s="19">
        <v>82.125</v>
      </c>
      <c r="AX17" s="21">
        <f t="shared" si="2"/>
        <v>84.08342857142857</v>
      </c>
      <c r="AY17" s="19">
        <v>84</v>
      </c>
      <c r="AZ17" s="12">
        <v>87</v>
      </c>
      <c r="BA17" s="19">
        <v>87.666666666666671</v>
      </c>
      <c r="BB17" s="19">
        <v>80.599999999999994</v>
      </c>
      <c r="BC17" s="12">
        <v>83</v>
      </c>
      <c r="BD17" s="19">
        <v>90</v>
      </c>
      <c r="BE17" s="19">
        <v>83.25</v>
      </c>
      <c r="BF17" s="19">
        <v>83.25</v>
      </c>
      <c r="BG17" s="19">
        <v>85</v>
      </c>
      <c r="BH17" s="19">
        <v>83.020499999999998</v>
      </c>
      <c r="BI17" s="19">
        <v>92</v>
      </c>
      <c r="BJ17" s="19">
        <v>77</v>
      </c>
      <c r="BK17" s="21">
        <f t="shared" si="3"/>
        <v>85.344287878787881</v>
      </c>
      <c r="BL17" s="19">
        <v>90</v>
      </c>
      <c r="BM17" s="19">
        <v>87</v>
      </c>
      <c r="BN17" s="19">
        <v>90</v>
      </c>
      <c r="BO17" s="19">
        <v>90</v>
      </c>
      <c r="BP17" s="21">
        <f t="shared" si="4"/>
        <v>89.25</v>
      </c>
      <c r="BQ17" s="12">
        <v>83</v>
      </c>
      <c r="BR17" s="12">
        <v>87</v>
      </c>
      <c r="BS17" s="22">
        <f t="shared" si="5"/>
        <v>85</v>
      </c>
      <c r="BT17" s="23">
        <v>85</v>
      </c>
      <c r="BU17" s="23">
        <v>91</v>
      </c>
      <c r="BV17" s="23">
        <v>85</v>
      </c>
      <c r="BW17" s="23">
        <v>89</v>
      </c>
      <c r="BX17" s="23">
        <v>0</v>
      </c>
      <c r="BY17" s="23">
        <v>92</v>
      </c>
      <c r="BZ17" s="23">
        <v>85</v>
      </c>
      <c r="CA17" s="23">
        <v>80</v>
      </c>
      <c r="CB17" s="23">
        <v>80</v>
      </c>
      <c r="CC17" s="23">
        <v>85</v>
      </c>
      <c r="CD17" s="23">
        <v>80</v>
      </c>
      <c r="CE17" s="23">
        <v>86</v>
      </c>
      <c r="CF17" s="21">
        <f t="shared" si="6"/>
        <v>85.272727272727266</v>
      </c>
      <c r="CG17" s="8">
        <f>IFERROR(AVERAGEIF(BT17:CE17,"&lt;&gt;0"),"")</f>
        <v>85.272727272727266</v>
      </c>
    </row>
    <row r="18" spans="1:85" x14ac:dyDescent="0.25">
      <c r="A18" s="5">
        <v>12</v>
      </c>
      <c r="B18" s="9" t="s">
        <v>42</v>
      </c>
      <c r="C18" s="9" t="s">
        <v>71</v>
      </c>
      <c r="D18" s="9">
        <v>102308353</v>
      </c>
      <c r="E18" s="6" t="s">
        <v>16</v>
      </c>
      <c r="F18" s="6" t="s">
        <v>17</v>
      </c>
      <c r="G18" s="9" t="s">
        <v>87</v>
      </c>
      <c r="H18" s="14">
        <v>39451</v>
      </c>
      <c r="I18" s="9" t="s">
        <v>91</v>
      </c>
      <c r="J18" s="6">
        <v>2023</v>
      </c>
      <c r="K18" s="9" t="s">
        <v>18</v>
      </c>
      <c r="L18" s="9" t="s">
        <v>105</v>
      </c>
      <c r="M18" s="20">
        <v>78</v>
      </c>
      <c r="N18" s="20">
        <v>80</v>
      </c>
      <c r="O18" s="20">
        <v>70</v>
      </c>
      <c r="P18" s="20">
        <v>75</v>
      </c>
      <c r="Q18" s="20">
        <v>74.333333333333329</v>
      </c>
      <c r="R18" s="20">
        <v>89</v>
      </c>
      <c r="S18" s="20">
        <v>80</v>
      </c>
      <c r="T18" s="20">
        <v>80</v>
      </c>
      <c r="U18" s="20">
        <v>73</v>
      </c>
      <c r="V18" s="20">
        <v>79.085999999999999</v>
      </c>
      <c r="W18" s="20">
        <v>71</v>
      </c>
      <c r="X18" s="20">
        <v>88.820000000000007</v>
      </c>
      <c r="Y18" s="18">
        <f t="shared" si="0"/>
        <v>78.186611111111105</v>
      </c>
      <c r="Z18" s="20">
        <v>79</v>
      </c>
      <c r="AA18" s="20">
        <v>80</v>
      </c>
      <c r="AB18" s="20">
        <v>80</v>
      </c>
      <c r="AC18" s="20">
        <v>79</v>
      </c>
      <c r="AD18" s="20">
        <v>82.4</v>
      </c>
      <c r="AE18" s="20">
        <v>82</v>
      </c>
      <c r="AF18" s="20">
        <v>80</v>
      </c>
      <c r="AG18" s="20">
        <v>75</v>
      </c>
      <c r="AH18" s="20">
        <v>88</v>
      </c>
      <c r="AI18" s="20">
        <v>75.400000000000006</v>
      </c>
      <c r="AJ18" s="20">
        <v>74.666666666666671</v>
      </c>
      <c r="AK18" s="20">
        <v>82.71052631578948</v>
      </c>
      <c r="AL18" s="18">
        <f t="shared" si="1"/>
        <v>79.848099415204672</v>
      </c>
      <c r="AM18" s="20">
        <v>78</v>
      </c>
      <c r="AN18" s="10">
        <v>81</v>
      </c>
      <c r="AO18" s="20">
        <v>80.8</v>
      </c>
      <c r="AP18" s="20">
        <v>86</v>
      </c>
      <c r="AQ18" s="10">
        <v>86</v>
      </c>
      <c r="AR18" s="10">
        <v>78</v>
      </c>
      <c r="AS18" s="10">
        <v>82</v>
      </c>
      <c r="AT18" s="20">
        <v>75.010000000000005</v>
      </c>
      <c r="AU18" s="10">
        <v>84</v>
      </c>
      <c r="AV18" s="20">
        <v>84</v>
      </c>
      <c r="AW18" s="20">
        <v>84.125</v>
      </c>
      <c r="AX18" s="21">
        <f t="shared" si="2"/>
        <v>79.752499999999998</v>
      </c>
      <c r="AY18" s="20">
        <v>84</v>
      </c>
      <c r="AZ18" s="10">
        <v>88</v>
      </c>
      <c r="BA18" s="20">
        <v>86</v>
      </c>
      <c r="BB18" s="20">
        <v>77.099999999999994</v>
      </c>
      <c r="BC18" s="10">
        <v>85</v>
      </c>
      <c r="BD18" s="20">
        <v>85</v>
      </c>
      <c r="BE18" s="20">
        <v>77.349999999999994</v>
      </c>
      <c r="BF18" s="20">
        <v>75</v>
      </c>
      <c r="BG18" s="20">
        <v>81.825615384615389</v>
      </c>
      <c r="BH18" s="20">
        <v>81.825615384615389</v>
      </c>
      <c r="BI18" s="20">
        <v>91</v>
      </c>
      <c r="BJ18" s="20">
        <v>80</v>
      </c>
      <c r="BK18" s="21">
        <f t="shared" si="3"/>
        <v>82.91829370629371</v>
      </c>
      <c r="BL18" s="20">
        <v>84</v>
      </c>
      <c r="BM18" s="20">
        <v>100</v>
      </c>
      <c r="BN18" s="20">
        <v>85</v>
      </c>
      <c r="BO18" s="20">
        <v>90</v>
      </c>
      <c r="BP18" s="21">
        <f t="shared" si="4"/>
        <v>89.75</v>
      </c>
      <c r="BQ18" s="10">
        <v>86</v>
      </c>
      <c r="BR18" s="10">
        <v>92</v>
      </c>
      <c r="BS18" s="22">
        <f t="shared" si="5"/>
        <v>89</v>
      </c>
      <c r="BT18" s="24">
        <v>79</v>
      </c>
      <c r="BU18" s="24">
        <v>89</v>
      </c>
      <c r="BV18" s="24">
        <v>85</v>
      </c>
      <c r="BW18" s="24">
        <v>87</v>
      </c>
      <c r="BX18" s="24">
        <v>0</v>
      </c>
      <c r="BY18" s="24">
        <v>85</v>
      </c>
      <c r="BZ18" s="24">
        <v>89</v>
      </c>
      <c r="CA18" s="24">
        <v>85</v>
      </c>
      <c r="CB18" s="24">
        <v>77</v>
      </c>
      <c r="CC18" s="24">
        <v>85</v>
      </c>
      <c r="CD18" s="24">
        <v>80</v>
      </c>
      <c r="CE18" s="24">
        <v>86</v>
      </c>
      <c r="CF18" s="21">
        <f t="shared" si="6"/>
        <v>84.272727272727266</v>
      </c>
      <c r="CG18" s="8">
        <f>IFERROR(AVERAGEIF(BT18:CE18,"&lt;&gt;0"),"")</f>
        <v>84.272727272727266</v>
      </c>
    </row>
    <row r="19" spans="1:85" x14ac:dyDescent="0.25">
      <c r="A19" s="5">
        <v>13</v>
      </c>
      <c r="B19" s="11" t="s">
        <v>43</v>
      </c>
      <c r="C19" s="11" t="s">
        <v>72</v>
      </c>
      <c r="D19" s="11">
        <v>102308354</v>
      </c>
      <c r="E19" s="6" t="s">
        <v>16</v>
      </c>
      <c r="F19" s="6" t="s">
        <v>17</v>
      </c>
      <c r="G19" s="11" t="s">
        <v>87</v>
      </c>
      <c r="H19" s="15">
        <v>39500</v>
      </c>
      <c r="I19" s="11" t="s">
        <v>91</v>
      </c>
      <c r="J19" s="6">
        <v>2023</v>
      </c>
      <c r="K19" s="11" t="s">
        <v>18</v>
      </c>
      <c r="L19" s="11" t="s">
        <v>106</v>
      </c>
      <c r="M19" s="19">
        <v>78</v>
      </c>
      <c r="N19" s="19">
        <v>79</v>
      </c>
      <c r="O19" s="19">
        <v>70</v>
      </c>
      <c r="P19" s="19">
        <v>75</v>
      </c>
      <c r="Q19" s="19">
        <v>74.333333333333329</v>
      </c>
      <c r="R19" s="19">
        <v>87</v>
      </c>
      <c r="S19" s="19">
        <v>80</v>
      </c>
      <c r="T19" s="19">
        <v>74</v>
      </c>
      <c r="U19" s="19">
        <v>73</v>
      </c>
      <c r="V19" s="19">
        <v>77</v>
      </c>
      <c r="W19" s="19">
        <v>73</v>
      </c>
      <c r="X19" s="19">
        <v>82.322000000000003</v>
      </c>
      <c r="Y19" s="18">
        <f t="shared" si="0"/>
        <v>76.887944444444443</v>
      </c>
      <c r="Z19" s="19">
        <v>80</v>
      </c>
      <c r="AA19" s="19">
        <v>82</v>
      </c>
      <c r="AB19" s="19">
        <v>75</v>
      </c>
      <c r="AC19" s="19">
        <v>80</v>
      </c>
      <c r="AD19" s="19">
        <v>83.6</v>
      </c>
      <c r="AE19" s="19">
        <v>87</v>
      </c>
      <c r="AF19" s="19">
        <v>80</v>
      </c>
      <c r="AG19" s="19">
        <v>74</v>
      </c>
      <c r="AH19" s="19">
        <v>79</v>
      </c>
      <c r="AI19" s="19">
        <v>76.349999999999994</v>
      </c>
      <c r="AJ19" s="19">
        <v>76.333333333333329</v>
      </c>
      <c r="AK19" s="19">
        <v>81.21052631578948</v>
      </c>
      <c r="AL19" s="18">
        <f t="shared" si="1"/>
        <v>79.541154970760246</v>
      </c>
      <c r="AM19" s="19">
        <v>76.666666666666671</v>
      </c>
      <c r="AN19" s="12">
        <v>80</v>
      </c>
      <c r="AO19" s="19">
        <v>80.833333333333329</v>
      </c>
      <c r="AP19" s="19">
        <v>79.599999999999994</v>
      </c>
      <c r="AQ19" s="12">
        <v>83</v>
      </c>
      <c r="AR19" s="12">
        <v>79</v>
      </c>
      <c r="AS19" s="12">
        <v>80</v>
      </c>
      <c r="AT19" s="19">
        <v>75.010000000000005</v>
      </c>
      <c r="AU19" s="12">
        <v>85</v>
      </c>
      <c r="AV19" s="19">
        <v>85</v>
      </c>
      <c r="AW19" s="19">
        <v>81.125</v>
      </c>
      <c r="AX19" s="21">
        <f t="shared" si="2"/>
        <v>79.752499999999998</v>
      </c>
      <c r="AY19" s="19">
        <v>84</v>
      </c>
      <c r="AZ19" s="12">
        <v>80</v>
      </c>
      <c r="BA19" s="19">
        <v>84.333333333333329</v>
      </c>
      <c r="BB19" s="19">
        <v>75</v>
      </c>
      <c r="BC19" s="19">
        <v>85.333333333333329</v>
      </c>
      <c r="BD19" s="19">
        <v>85.333333333333329</v>
      </c>
      <c r="BE19" s="19">
        <v>79</v>
      </c>
      <c r="BF19" s="19">
        <v>77.349999999999994</v>
      </c>
      <c r="BG19" s="19">
        <v>76.696269230769218</v>
      </c>
      <c r="BH19" s="19">
        <v>76.696269230769218</v>
      </c>
      <c r="BI19" s="19">
        <v>91</v>
      </c>
      <c r="BJ19" s="19">
        <v>77</v>
      </c>
      <c r="BK19" s="21">
        <f t="shared" si="3"/>
        <v>81.340230769230757</v>
      </c>
      <c r="BL19" s="19">
        <v>85</v>
      </c>
      <c r="BM19" s="19">
        <v>85</v>
      </c>
      <c r="BN19" s="19">
        <v>90</v>
      </c>
      <c r="BO19" s="19">
        <v>90</v>
      </c>
      <c r="BP19" s="21">
        <f t="shared" si="4"/>
        <v>87.5</v>
      </c>
      <c r="BQ19" s="12">
        <v>85</v>
      </c>
      <c r="BR19" s="12">
        <v>86</v>
      </c>
      <c r="BS19" s="22">
        <f t="shared" si="5"/>
        <v>85.5</v>
      </c>
      <c r="BT19" s="23">
        <v>83</v>
      </c>
      <c r="BU19" s="23">
        <v>80</v>
      </c>
      <c r="BV19" s="23">
        <v>85</v>
      </c>
      <c r="BW19" s="23">
        <v>88</v>
      </c>
      <c r="BX19" s="23">
        <v>0</v>
      </c>
      <c r="BY19" s="23">
        <v>88</v>
      </c>
      <c r="BZ19" s="23">
        <v>85.5</v>
      </c>
      <c r="CA19" s="23">
        <v>80</v>
      </c>
      <c r="CB19" s="23">
        <v>83</v>
      </c>
      <c r="CC19" s="23">
        <v>85</v>
      </c>
      <c r="CD19" s="23">
        <v>83</v>
      </c>
      <c r="CE19" s="23">
        <v>86</v>
      </c>
      <c r="CF19" s="21">
        <f t="shared" si="6"/>
        <v>84.227272727272734</v>
      </c>
      <c r="CG19" s="8">
        <f>IFERROR(AVERAGEIF(BT19:CE19,"&lt;&gt;0"),"")</f>
        <v>84.227272727272734</v>
      </c>
    </row>
    <row r="20" spans="1:85" x14ac:dyDescent="0.25">
      <c r="A20" s="5">
        <v>14</v>
      </c>
      <c r="B20" s="9" t="s">
        <v>44</v>
      </c>
      <c r="C20" s="9" t="s">
        <v>73</v>
      </c>
      <c r="D20" s="9">
        <v>102308355</v>
      </c>
      <c r="E20" s="6" t="s">
        <v>16</v>
      </c>
      <c r="F20" s="6" t="s">
        <v>17</v>
      </c>
      <c r="G20" s="9" t="s">
        <v>87</v>
      </c>
      <c r="H20" s="14">
        <v>39463</v>
      </c>
      <c r="I20" s="9" t="s">
        <v>91</v>
      </c>
      <c r="J20" s="6">
        <v>2023</v>
      </c>
      <c r="K20" s="9" t="s">
        <v>18</v>
      </c>
      <c r="L20" s="9" t="s">
        <v>107</v>
      </c>
      <c r="M20" s="20">
        <v>79</v>
      </c>
      <c r="N20" s="20">
        <v>81</v>
      </c>
      <c r="O20" s="20">
        <v>80</v>
      </c>
      <c r="P20" s="20">
        <v>75</v>
      </c>
      <c r="Q20" s="20">
        <v>75.333333333333329</v>
      </c>
      <c r="R20" s="20">
        <v>87</v>
      </c>
      <c r="S20" s="20">
        <v>80</v>
      </c>
      <c r="T20" s="20">
        <v>73</v>
      </c>
      <c r="U20" s="20">
        <v>73</v>
      </c>
      <c r="V20" s="20">
        <v>76.015999999999991</v>
      </c>
      <c r="W20" s="20">
        <v>73</v>
      </c>
      <c r="X20" s="20">
        <v>82.762</v>
      </c>
      <c r="Y20" s="18">
        <f t="shared" si="0"/>
        <v>77.92594444444444</v>
      </c>
      <c r="Z20" s="20">
        <v>79</v>
      </c>
      <c r="AA20" s="20">
        <v>84</v>
      </c>
      <c r="AB20" s="20">
        <v>80</v>
      </c>
      <c r="AC20" s="20">
        <v>81</v>
      </c>
      <c r="AD20" s="20">
        <v>81.100000000000009</v>
      </c>
      <c r="AE20" s="20">
        <v>87</v>
      </c>
      <c r="AF20" s="20">
        <v>80</v>
      </c>
      <c r="AG20" s="20">
        <v>74</v>
      </c>
      <c r="AH20" s="20">
        <v>86</v>
      </c>
      <c r="AI20" s="20">
        <v>75.650000000000006</v>
      </c>
      <c r="AJ20" s="20">
        <v>79</v>
      </c>
      <c r="AK20" s="20">
        <v>82.21052631578948</v>
      </c>
      <c r="AL20" s="18">
        <f t="shared" si="1"/>
        <v>80.746710526315795</v>
      </c>
      <c r="AM20" s="20">
        <v>79.333333333333329</v>
      </c>
      <c r="AN20" s="10">
        <v>84</v>
      </c>
      <c r="AO20" s="20">
        <v>81.777777777777771</v>
      </c>
      <c r="AP20" s="20">
        <v>80.400000000000006</v>
      </c>
      <c r="AQ20" s="10">
        <v>83</v>
      </c>
      <c r="AR20" s="10">
        <v>79</v>
      </c>
      <c r="AS20" s="10">
        <v>80</v>
      </c>
      <c r="AT20" s="20">
        <v>85.26857142857142</v>
      </c>
      <c r="AU20" s="10">
        <v>85</v>
      </c>
      <c r="AV20" s="20">
        <v>85</v>
      </c>
      <c r="AW20" s="20">
        <v>83</v>
      </c>
      <c r="AX20" s="21">
        <f t="shared" si="2"/>
        <v>82.317142857142855</v>
      </c>
      <c r="AY20" s="20">
        <v>84</v>
      </c>
      <c r="AZ20" s="10">
        <v>87</v>
      </c>
      <c r="BA20" s="20">
        <v>79.333333333333329</v>
      </c>
      <c r="BB20" s="20">
        <v>76</v>
      </c>
      <c r="BC20" s="20">
        <v>84.333333333333329</v>
      </c>
      <c r="BD20" s="20">
        <v>84.333333333333329</v>
      </c>
      <c r="BE20" s="20">
        <v>80.95</v>
      </c>
      <c r="BF20" s="20">
        <v>79</v>
      </c>
      <c r="BG20" s="20">
        <v>82.999461538461532</v>
      </c>
      <c r="BH20" s="20">
        <v>82.999461538461532</v>
      </c>
      <c r="BI20" s="20">
        <v>93.666666666666671</v>
      </c>
      <c r="BJ20" s="20">
        <v>77</v>
      </c>
      <c r="BK20" s="21">
        <f t="shared" si="3"/>
        <v>83.146871794871785</v>
      </c>
      <c r="BL20" s="20">
        <v>88</v>
      </c>
      <c r="BM20" s="20">
        <v>90</v>
      </c>
      <c r="BN20" s="20">
        <v>90</v>
      </c>
      <c r="BO20" s="20">
        <v>95</v>
      </c>
      <c r="BP20" s="21">
        <f t="shared" si="4"/>
        <v>90.75</v>
      </c>
      <c r="BQ20" s="10">
        <v>85</v>
      </c>
      <c r="BR20" s="10">
        <v>87</v>
      </c>
      <c r="BS20" s="22">
        <f t="shared" si="5"/>
        <v>86</v>
      </c>
      <c r="BT20" s="24">
        <v>83</v>
      </c>
      <c r="BU20" s="24">
        <v>88</v>
      </c>
      <c r="BV20" s="24">
        <v>85</v>
      </c>
      <c r="BW20" s="24">
        <v>89</v>
      </c>
      <c r="BX20" s="24">
        <v>0</v>
      </c>
      <c r="BY20" s="24">
        <v>90</v>
      </c>
      <c r="BZ20" s="24">
        <v>86</v>
      </c>
      <c r="CA20" s="24">
        <v>80</v>
      </c>
      <c r="CB20" s="24">
        <v>84</v>
      </c>
      <c r="CC20" s="24">
        <v>85</v>
      </c>
      <c r="CD20" s="24">
        <v>88</v>
      </c>
      <c r="CE20" s="24">
        <v>86</v>
      </c>
      <c r="CF20" s="21">
        <f t="shared" si="6"/>
        <v>85.818181818181813</v>
      </c>
      <c r="CG20" s="8">
        <f>IFERROR(AVERAGEIF(BT20:CE20,"&lt;&gt;0"),"")</f>
        <v>85.818181818181813</v>
      </c>
    </row>
    <row r="21" spans="1:85" x14ac:dyDescent="0.25">
      <c r="A21" s="5">
        <v>15</v>
      </c>
      <c r="B21" s="11" t="s">
        <v>45</v>
      </c>
      <c r="C21" s="11" t="s">
        <v>74</v>
      </c>
      <c r="D21" s="11">
        <v>102308356</v>
      </c>
      <c r="E21" s="6" t="s">
        <v>16</v>
      </c>
      <c r="F21" s="6" t="s">
        <v>17</v>
      </c>
      <c r="G21" s="11" t="s">
        <v>89</v>
      </c>
      <c r="H21" s="15">
        <v>39414</v>
      </c>
      <c r="I21" s="11" t="s">
        <v>92</v>
      </c>
      <c r="J21" s="6">
        <v>2023</v>
      </c>
      <c r="K21" s="11" t="s">
        <v>18</v>
      </c>
      <c r="L21" s="11" t="s">
        <v>108</v>
      </c>
      <c r="M21" s="19">
        <v>80</v>
      </c>
      <c r="N21" s="19">
        <v>80</v>
      </c>
      <c r="O21" s="19">
        <v>70</v>
      </c>
      <c r="P21" s="19">
        <v>75</v>
      </c>
      <c r="Q21" s="19">
        <v>75</v>
      </c>
      <c r="R21" s="19">
        <v>85</v>
      </c>
      <c r="S21" s="19">
        <v>85</v>
      </c>
      <c r="T21" s="19">
        <v>76</v>
      </c>
      <c r="U21" s="19">
        <v>70</v>
      </c>
      <c r="V21" s="19">
        <v>77</v>
      </c>
      <c r="W21" s="19">
        <v>74.333333333333329</v>
      </c>
      <c r="X21" s="19">
        <v>84.9</v>
      </c>
      <c r="Y21" s="18">
        <f t="shared" si="0"/>
        <v>77.686111111111117</v>
      </c>
      <c r="Z21" s="19">
        <v>80</v>
      </c>
      <c r="AA21" s="19">
        <v>85</v>
      </c>
      <c r="AB21" s="19">
        <v>75</v>
      </c>
      <c r="AC21" s="19">
        <v>80</v>
      </c>
      <c r="AD21" s="19">
        <v>84.6</v>
      </c>
      <c r="AE21" s="19">
        <v>83</v>
      </c>
      <c r="AF21" s="19">
        <v>88</v>
      </c>
      <c r="AG21" s="19">
        <v>80</v>
      </c>
      <c r="AH21" s="19">
        <v>91</v>
      </c>
      <c r="AI21" s="19">
        <v>76.95</v>
      </c>
      <c r="AJ21" s="19">
        <v>79.333333333333329</v>
      </c>
      <c r="AK21" s="19">
        <v>80.5</v>
      </c>
      <c r="AL21" s="18">
        <f t="shared" si="1"/>
        <v>81.94861111111112</v>
      </c>
      <c r="AM21" s="19">
        <v>82</v>
      </c>
      <c r="AN21" s="12">
        <v>84</v>
      </c>
      <c r="AO21" s="19">
        <v>84.545454545454547</v>
      </c>
      <c r="AP21" s="19">
        <v>85.6</v>
      </c>
      <c r="AQ21" s="12">
        <v>79</v>
      </c>
      <c r="AR21" s="12">
        <v>83</v>
      </c>
      <c r="AS21" s="12">
        <v>90</v>
      </c>
      <c r="AT21" s="19">
        <v>81.22</v>
      </c>
      <c r="AU21" s="12">
        <v>85</v>
      </c>
      <c r="AV21" s="19">
        <v>85</v>
      </c>
      <c r="AW21" s="19">
        <v>82.25</v>
      </c>
      <c r="AX21" s="21">
        <f t="shared" si="2"/>
        <v>84.805000000000007</v>
      </c>
      <c r="AY21" s="19">
        <v>84</v>
      </c>
      <c r="AZ21" s="12">
        <v>85</v>
      </c>
      <c r="BA21" s="19">
        <v>90</v>
      </c>
      <c r="BB21" s="19">
        <v>78.599999999999994</v>
      </c>
      <c r="BC21" s="19">
        <v>90</v>
      </c>
      <c r="BD21" s="19">
        <v>90</v>
      </c>
      <c r="BE21" s="19">
        <v>82.75</v>
      </c>
      <c r="BF21" s="19">
        <v>80.95</v>
      </c>
      <c r="BG21" s="19">
        <v>85.54792307692307</v>
      </c>
      <c r="BH21" s="19">
        <v>85.54792307692307</v>
      </c>
      <c r="BI21" s="19">
        <v>92</v>
      </c>
      <c r="BJ21" s="19">
        <v>77</v>
      </c>
      <c r="BK21" s="21">
        <f t="shared" si="3"/>
        <v>85.854167832167846</v>
      </c>
      <c r="BL21" s="19">
        <v>90</v>
      </c>
      <c r="BM21" s="19">
        <v>90</v>
      </c>
      <c r="BN21" s="19">
        <v>90</v>
      </c>
      <c r="BO21" s="19">
        <v>90</v>
      </c>
      <c r="BP21" s="21">
        <f t="shared" si="4"/>
        <v>90</v>
      </c>
      <c r="BQ21" s="12">
        <v>79</v>
      </c>
      <c r="BR21" s="12">
        <v>87</v>
      </c>
      <c r="BS21" s="22">
        <f t="shared" si="5"/>
        <v>83</v>
      </c>
      <c r="BT21" s="23">
        <v>83</v>
      </c>
      <c r="BU21" s="23">
        <v>88</v>
      </c>
      <c r="BV21" s="23">
        <v>85</v>
      </c>
      <c r="BW21" s="23">
        <v>87</v>
      </c>
      <c r="BX21" s="23">
        <v>0</v>
      </c>
      <c r="BY21" s="23">
        <v>90</v>
      </c>
      <c r="BZ21" s="23">
        <v>83</v>
      </c>
      <c r="CA21" s="23">
        <v>80</v>
      </c>
      <c r="CB21" s="23">
        <v>83</v>
      </c>
      <c r="CC21" s="23">
        <v>85</v>
      </c>
      <c r="CD21" s="23">
        <v>80</v>
      </c>
      <c r="CE21" s="23">
        <v>86</v>
      </c>
      <c r="CF21" s="21">
        <f t="shared" si="6"/>
        <v>84.545454545454547</v>
      </c>
      <c r="CG21" s="8">
        <f>IFERROR(AVERAGEIF(BT21:CE21,"&lt;&gt;0"),"")</f>
        <v>84.545454545454547</v>
      </c>
    </row>
    <row r="22" spans="1:85" x14ac:dyDescent="0.25">
      <c r="A22" s="5">
        <v>16</v>
      </c>
      <c r="B22" s="9" t="s">
        <v>46</v>
      </c>
      <c r="C22" s="9" t="s">
        <v>75</v>
      </c>
      <c r="D22" s="9">
        <v>102308357</v>
      </c>
      <c r="E22" s="6" t="s">
        <v>16</v>
      </c>
      <c r="F22" s="6" t="s">
        <v>17</v>
      </c>
      <c r="G22" s="9" t="s">
        <v>87</v>
      </c>
      <c r="H22" s="14">
        <v>39443</v>
      </c>
      <c r="I22" s="9" t="s">
        <v>92</v>
      </c>
      <c r="J22" s="6">
        <v>2023</v>
      </c>
      <c r="K22" s="9" t="s">
        <v>18</v>
      </c>
      <c r="L22" s="9" t="s">
        <v>109</v>
      </c>
      <c r="M22" s="20">
        <v>80</v>
      </c>
      <c r="N22" s="20">
        <v>79</v>
      </c>
      <c r="O22" s="20">
        <v>71</v>
      </c>
      <c r="P22" s="20">
        <v>76</v>
      </c>
      <c r="Q22" s="20">
        <v>77</v>
      </c>
      <c r="R22" s="20">
        <v>87</v>
      </c>
      <c r="S22" s="20">
        <v>85</v>
      </c>
      <c r="T22" s="20">
        <v>77</v>
      </c>
      <c r="U22" s="20">
        <v>73</v>
      </c>
      <c r="V22" s="20">
        <v>83</v>
      </c>
      <c r="W22" s="20">
        <v>80</v>
      </c>
      <c r="X22" s="20">
        <v>86</v>
      </c>
      <c r="Y22" s="18">
        <f t="shared" si="0"/>
        <v>79.5</v>
      </c>
      <c r="Z22" s="20">
        <v>81</v>
      </c>
      <c r="AA22" s="20">
        <v>86</v>
      </c>
      <c r="AB22" s="20">
        <v>75</v>
      </c>
      <c r="AC22" s="20">
        <v>83</v>
      </c>
      <c r="AD22" s="20">
        <v>84.3</v>
      </c>
      <c r="AE22" s="20">
        <v>87</v>
      </c>
      <c r="AF22" s="20">
        <v>88</v>
      </c>
      <c r="AG22" s="20">
        <v>80</v>
      </c>
      <c r="AH22" s="20">
        <v>90</v>
      </c>
      <c r="AI22" s="20">
        <v>76.95</v>
      </c>
      <c r="AJ22" s="20">
        <v>79.333333333333329</v>
      </c>
      <c r="AK22" s="20">
        <v>83</v>
      </c>
      <c r="AL22" s="18">
        <f t="shared" si="1"/>
        <v>82.798611111111114</v>
      </c>
      <c r="AM22" s="20">
        <v>82.333333333333329</v>
      </c>
      <c r="AN22" s="10">
        <v>83</v>
      </c>
      <c r="AO22" s="20">
        <v>84.6111111111111</v>
      </c>
      <c r="AP22" s="20">
        <v>88.4</v>
      </c>
      <c r="AQ22" s="10">
        <v>81</v>
      </c>
      <c r="AR22" s="10">
        <v>83</v>
      </c>
      <c r="AS22" s="10">
        <v>84</v>
      </c>
      <c r="AT22" s="20">
        <v>85.853999999999999</v>
      </c>
      <c r="AU22" s="10">
        <v>88</v>
      </c>
      <c r="AV22" s="20">
        <v>88</v>
      </c>
      <c r="AW22" s="20">
        <v>81.375</v>
      </c>
      <c r="AX22" s="21">
        <f t="shared" si="2"/>
        <v>85.213499999999996</v>
      </c>
      <c r="AY22" s="20">
        <v>84</v>
      </c>
      <c r="AZ22" s="10">
        <v>84</v>
      </c>
      <c r="BA22" s="20">
        <v>86.666666666666671</v>
      </c>
      <c r="BB22" s="20">
        <v>86</v>
      </c>
      <c r="BC22" s="20">
        <v>90</v>
      </c>
      <c r="BD22" s="20">
        <v>90</v>
      </c>
      <c r="BE22" s="20">
        <v>84.25</v>
      </c>
      <c r="BF22" s="20">
        <v>82.75</v>
      </c>
      <c r="BG22" s="20">
        <v>84.837923076923062</v>
      </c>
      <c r="BH22" s="20">
        <v>84.837923076923062</v>
      </c>
      <c r="BI22" s="20">
        <v>94</v>
      </c>
      <c r="BJ22" s="20">
        <v>77</v>
      </c>
      <c r="BK22" s="21">
        <f t="shared" si="3"/>
        <v>86.485682983682992</v>
      </c>
      <c r="BL22" s="20">
        <v>88</v>
      </c>
      <c r="BM22" s="20">
        <v>100</v>
      </c>
      <c r="BN22" s="20">
        <v>90</v>
      </c>
      <c r="BO22" s="20">
        <v>88</v>
      </c>
      <c r="BP22" s="21">
        <f t="shared" si="4"/>
        <v>91.5</v>
      </c>
      <c r="BQ22" s="10">
        <v>87</v>
      </c>
      <c r="BR22" s="10">
        <v>88</v>
      </c>
      <c r="BS22" s="22">
        <f t="shared" si="5"/>
        <v>87.5</v>
      </c>
      <c r="BT22" s="24">
        <v>83</v>
      </c>
      <c r="BU22" s="24">
        <v>87</v>
      </c>
      <c r="BV22" s="24">
        <v>85</v>
      </c>
      <c r="BW22" s="24">
        <v>89</v>
      </c>
      <c r="BX22" s="24">
        <v>0</v>
      </c>
      <c r="BY22" s="24">
        <v>90</v>
      </c>
      <c r="BZ22" s="24">
        <v>87.5</v>
      </c>
      <c r="CA22" s="24">
        <v>80</v>
      </c>
      <c r="CB22" s="24">
        <v>79</v>
      </c>
      <c r="CC22" s="24">
        <v>85</v>
      </c>
      <c r="CD22" s="24">
        <v>80</v>
      </c>
      <c r="CE22" s="24">
        <v>86</v>
      </c>
      <c r="CF22" s="21">
        <f t="shared" si="6"/>
        <v>84.681818181818187</v>
      </c>
      <c r="CG22" s="8">
        <f>IFERROR(AVERAGEIF(BT22:CE22,"&lt;&gt;0"),"")</f>
        <v>84.681818181818187</v>
      </c>
    </row>
    <row r="23" spans="1:85" x14ac:dyDescent="0.25">
      <c r="A23" s="5">
        <v>17</v>
      </c>
      <c r="B23" s="11" t="s">
        <v>47</v>
      </c>
      <c r="C23" s="11" t="s">
        <v>76</v>
      </c>
      <c r="D23" s="11">
        <v>102308358</v>
      </c>
      <c r="E23" s="6" t="s">
        <v>16</v>
      </c>
      <c r="F23" s="6" t="s">
        <v>17</v>
      </c>
      <c r="G23" s="11" t="s">
        <v>87</v>
      </c>
      <c r="H23" s="15">
        <v>39435</v>
      </c>
      <c r="I23" s="11" t="s">
        <v>91</v>
      </c>
      <c r="J23" s="6">
        <v>2023</v>
      </c>
      <c r="K23" s="11" t="s">
        <v>18</v>
      </c>
      <c r="L23" s="11" t="s">
        <v>110</v>
      </c>
      <c r="M23" s="19">
        <v>79</v>
      </c>
      <c r="N23" s="19">
        <v>79</v>
      </c>
      <c r="O23" s="19">
        <v>70</v>
      </c>
      <c r="P23" s="19">
        <v>75</v>
      </c>
      <c r="Q23" s="19">
        <v>74</v>
      </c>
      <c r="R23" s="19">
        <v>79</v>
      </c>
      <c r="S23" s="19">
        <v>78</v>
      </c>
      <c r="T23" s="19">
        <v>80</v>
      </c>
      <c r="U23" s="19">
        <v>73</v>
      </c>
      <c r="V23" s="19">
        <v>74.77000000000001</v>
      </c>
      <c r="W23" s="19">
        <v>72.333333333333329</v>
      </c>
      <c r="X23" s="19">
        <v>82.28</v>
      </c>
      <c r="Y23" s="18">
        <f t="shared" si="0"/>
        <v>76.365277777777777</v>
      </c>
      <c r="Z23" s="19">
        <v>80</v>
      </c>
      <c r="AA23" s="19">
        <v>81</v>
      </c>
      <c r="AB23" s="19">
        <v>75</v>
      </c>
      <c r="AC23" s="19">
        <v>81</v>
      </c>
      <c r="AD23" s="19">
        <v>82.3</v>
      </c>
      <c r="AE23" s="19">
        <v>79</v>
      </c>
      <c r="AF23" s="19">
        <v>81</v>
      </c>
      <c r="AG23" s="19">
        <v>78</v>
      </c>
      <c r="AH23" s="19">
        <v>81</v>
      </c>
      <c r="AI23" s="19">
        <v>74.5</v>
      </c>
      <c r="AJ23" s="19">
        <v>73.666666666666671</v>
      </c>
      <c r="AK23" s="19">
        <v>83.5</v>
      </c>
      <c r="AL23" s="18">
        <f t="shared" si="1"/>
        <v>79.163888888888877</v>
      </c>
      <c r="AM23" s="19">
        <v>80</v>
      </c>
      <c r="AN23" s="12">
        <v>82</v>
      </c>
      <c r="AO23" s="19">
        <v>81.533333333333331</v>
      </c>
      <c r="AP23" s="19">
        <v>84</v>
      </c>
      <c r="AQ23" s="12">
        <v>85</v>
      </c>
      <c r="AR23" s="12">
        <v>80</v>
      </c>
      <c r="AS23" s="12">
        <v>82</v>
      </c>
      <c r="AT23" s="19">
        <v>78.536000000000001</v>
      </c>
      <c r="AU23" s="12">
        <v>85</v>
      </c>
      <c r="AV23" s="19">
        <v>85</v>
      </c>
      <c r="AW23" s="19">
        <v>87.375</v>
      </c>
      <c r="AX23" s="21">
        <f t="shared" si="2"/>
        <v>81.384</v>
      </c>
      <c r="AY23" s="19">
        <v>84</v>
      </c>
      <c r="AZ23" s="12">
        <v>82</v>
      </c>
      <c r="BA23" s="19">
        <v>86</v>
      </c>
      <c r="BB23" s="19">
        <v>75.599999999999994</v>
      </c>
      <c r="BC23" s="19">
        <v>84.333333333333329</v>
      </c>
      <c r="BD23" s="19">
        <v>84.333333333333329</v>
      </c>
      <c r="BE23" s="19">
        <v>79.5</v>
      </c>
      <c r="BF23" s="19">
        <v>84.25</v>
      </c>
      <c r="BG23" s="19">
        <v>71.536692307692306</v>
      </c>
      <c r="BH23" s="19">
        <v>71.536692307692306</v>
      </c>
      <c r="BI23" s="19">
        <v>90.333333333333329</v>
      </c>
      <c r="BJ23" s="19">
        <v>77</v>
      </c>
      <c r="BK23" s="21">
        <f t="shared" si="3"/>
        <v>81.220307692307699</v>
      </c>
      <c r="BL23" s="19">
        <v>84</v>
      </c>
      <c r="BM23" s="19">
        <v>90</v>
      </c>
      <c r="BN23" s="19">
        <v>85</v>
      </c>
      <c r="BO23" s="19">
        <v>90</v>
      </c>
      <c r="BP23" s="21">
        <f t="shared" si="4"/>
        <v>87.25</v>
      </c>
      <c r="BQ23" s="12">
        <v>71</v>
      </c>
      <c r="BR23" s="12">
        <v>75</v>
      </c>
      <c r="BS23" s="22">
        <f t="shared" si="5"/>
        <v>73</v>
      </c>
      <c r="BT23" s="23">
        <v>83</v>
      </c>
      <c r="BU23" s="23">
        <v>83</v>
      </c>
      <c r="BV23" s="23">
        <v>85</v>
      </c>
      <c r="BW23" s="23">
        <v>90</v>
      </c>
      <c r="BX23" s="23">
        <v>0</v>
      </c>
      <c r="BY23" s="23">
        <v>92</v>
      </c>
      <c r="BZ23" s="23">
        <v>73</v>
      </c>
      <c r="CA23" s="23">
        <v>78</v>
      </c>
      <c r="CB23" s="23">
        <v>81</v>
      </c>
      <c r="CC23" s="23">
        <v>85</v>
      </c>
      <c r="CD23" s="23">
        <v>77</v>
      </c>
      <c r="CE23" s="23">
        <v>86</v>
      </c>
      <c r="CF23" s="21">
        <f t="shared" si="6"/>
        <v>83</v>
      </c>
      <c r="CG23" s="8">
        <f>IFERROR(AVERAGEIF(BT23:CE23,"&lt;&gt;0"),"")</f>
        <v>83</v>
      </c>
    </row>
    <row r="24" spans="1:85" x14ac:dyDescent="0.25">
      <c r="A24" s="5">
        <v>18</v>
      </c>
      <c r="B24" s="9" t="s">
        <v>48</v>
      </c>
      <c r="C24" s="9" t="s">
        <v>77</v>
      </c>
      <c r="D24" s="9">
        <v>102308359</v>
      </c>
      <c r="E24" s="6" t="s">
        <v>16</v>
      </c>
      <c r="F24" s="6" t="s">
        <v>17</v>
      </c>
      <c r="G24" s="9" t="s">
        <v>87</v>
      </c>
      <c r="H24" s="14">
        <v>39321</v>
      </c>
      <c r="I24" s="9" t="s">
        <v>91</v>
      </c>
      <c r="J24" s="6">
        <v>2023</v>
      </c>
      <c r="K24" s="9" t="s">
        <v>18</v>
      </c>
      <c r="L24" s="9" t="s">
        <v>111</v>
      </c>
      <c r="M24" s="20">
        <v>78</v>
      </c>
      <c r="N24" s="20">
        <v>81</v>
      </c>
      <c r="O24" s="20">
        <v>72</v>
      </c>
      <c r="P24" s="20">
        <v>75</v>
      </c>
      <c r="Q24" s="20">
        <v>77.333333333333329</v>
      </c>
      <c r="R24" s="20">
        <v>88</v>
      </c>
      <c r="S24" s="20">
        <v>80</v>
      </c>
      <c r="T24" s="20">
        <v>88</v>
      </c>
      <c r="U24" s="20">
        <v>80</v>
      </c>
      <c r="V24" s="20">
        <v>84</v>
      </c>
      <c r="W24" s="20">
        <v>87.333333333333329</v>
      </c>
      <c r="X24" s="20">
        <v>90.295000000000016</v>
      </c>
      <c r="Y24" s="18">
        <f t="shared" si="0"/>
        <v>81.746805555555554</v>
      </c>
      <c r="Z24" s="20">
        <v>79</v>
      </c>
      <c r="AA24" s="20">
        <v>83</v>
      </c>
      <c r="AB24" s="20">
        <v>75</v>
      </c>
      <c r="AC24" s="20">
        <v>82</v>
      </c>
      <c r="AD24" s="20">
        <v>84.8</v>
      </c>
      <c r="AE24" s="20">
        <v>88</v>
      </c>
      <c r="AF24" s="20">
        <v>80</v>
      </c>
      <c r="AG24" s="20">
        <v>85</v>
      </c>
      <c r="AH24" s="20">
        <v>92</v>
      </c>
      <c r="AI24" s="20">
        <v>83.75</v>
      </c>
      <c r="AJ24" s="20">
        <v>82</v>
      </c>
      <c r="AK24" s="20">
        <v>89</v>
      </c>
      <c r="AL24" s="18">
        <f t="shared" si="1"/>
        <v>83.629166666666663</v>
      </c>
      <c r="AM24" s="20">
        <v>80.666666666666671</v>
      </c>
      <c r="AN24" s="10">
        <v>84</v>
      </c>
      <c r="AO24" s="20">
        <v>84.083333333333329</v>
      </c>
      <c r="AP24" s="20">
        <v>87.800000000000011</v>
      </c>
      <c r="AQ24" s="10">
        <v>84</v>
      </c>
      <c r="AR24" s="10">
        <v>83</v>
      </c>
      <c r="AS24" s="10">
        <v>90</v>
      </c>
      <c r="AT24" s="20">
        <v>85.869714285714281</v>
      </c>
      <c r="AU24" s="10">
        <v>85</v>
      </c>
      <c r="AV24" s="20">
        <v>85</v>
      </c>
      <c r="AW24" s="20">
        <v>86.5</v>
      </c>
      <c r="AX24" s="21">
        <f t="shared" si="2"/>
        <v>85.96742857142857</v>
      </c>
      <c r="AY24" s="20">
        <v>84</v>
      </c>
      <c r="AZ24" s="10">
        <v>84</v>
      </c>
      <c r="BA24" s="20">
        <v>90</v>
      </c>
      <c r="BB24" s="20">
        <v>80.099999999999994</v>
      </c>
      <c r="BC24" s="20">
        <v>84.666666666666671</v>
      </c>
      <c r="BD24" s="20">
        <v>84.666666666666671</v>
      </c>
      <c r="BE24" s="20">
        <v>83.95</v>
      </c>
      <c r="BF24" s="20">
        <v>79.5</v>
      </c>
      <c r="BG24" s="20">
        <v>83.442692307692312</v>
      </c>
      <c r="BH24" s="20">
        <v>83.442692307692312</v>
      </c>
      <c r="BI24" s="20">
        <v>91.666666666666671</v>
      </c>
      <c r="BJ24" s="20">
        <v>80</v>
      </c>
      <c r="BK24" s="21">
        <f t="shared" si="3"/>
        <v>84.494125874125885</v>
      </c>
      <c r="BL24" s="20">
        <v>87</v>
      </c>
      <c r="BM24" s="20">
        <v>88</v>
      </c>
      <c r="BN24" s="20">
        <v>85</v>
      </c>
      <c r="BO24" s="20">
        <v>90</v>
      </c>
      <c r="BP24" s="21">
        <f t="shared" si="4"/>
        <v>87.5</v>
      </c>
      <c r="BQ24" s="10">
        <v>80</v>
      </c>
      <c r="BR24" s="10">
        <v>90</v>
      </c>
      <c r="BS24" s="22">
        <f t="shared" si="5"/>
        <v>85</v>
      </c>
      <c r="BT24" s="24">
        <v>85</v>
      </c>
      <c r="BU24" s="24">
        <v>91</v>
      </c>
      <c r="BV24" s="24">
        <v>85</v>
      </c>
      <c r="BW24" s="24">
        <v>88</v>
      </c>
      <c r="BX24" s="24">
        <v>0</v>
      </c>
      <c r="BY24" s="24">
        <v>90</v>
      </c>
      <c r="BZ24" s="24">
        <v>85</v>
      </c>
      <c r="CA24" s="24">
        <v>80</v>
      </c>
      <c r="CB24" s="24">
        <v>80</v>
      </c>
      <c r="CC24" s="24">
        <v>85</v>
      </c>
      <c r="CD24" s="24">
        <v>80</v>
      </c>
      <c r="CE24" s="24">
        <v>86</v>
      </c>
      <c r="CF24" s="21">
        <f t="shared" si="6"/>
        <v>85</v>
      </c>
      <c r="CG24" s="8">
        <f>IFERROR(AVERAGEIF(BT24:CE24,"&lt;&gt;0"),"")</f>
        <v>85</v>
      </c>
    </row>
    <row r="25" spans="1:85" x14ac:dyDescent="0.25">
      <c r="A25" s="5">
        <v>19</v>
      </c>
      <c r="B25" s="11" t="s">
        <v>49</v>
      </c>
      <c r="C25" s="11" t="s">
        <v>78</v>
      </c>
      <c r="D25" s="11">
        <v>102308360</v>
      </c>
      <c r="E25" s="6" t="s">
        <v>16</v>
      </c>
      <c r="F25" s="6" t="s">
        <v>17</v>
      </c>
      <c r="G25" s="11" t="s">
        <v>86</v>
      </c>
      <c r="H25" s="15">
        <v>39405</v>
      </c>
      <c r="I25" s="11" t="s">
        <v>91</v>
      </c>
      <c r="J25" s="6">
        <v>2023</v>
      </c>
      <c r="K25" s="11" t="s">
        <v>18</v>
      </c>
      <c r="L25" s="11" t="s">
        <v>112</v>
      </c>
      <c r="M25" s="19">
        <v>78</v>
      </c>
      <c r="N25" s="19">
        <v>82</v>
      </c>
      <c r="O25" s="19">
        <v>80</v>
      </c>
      <c r="P25" s="19">
        <v>77</v>
      </c>
      <c r="Q25" s="19">
        <v>75.333333333333329</v>
      </c>
      <c r="R25" s="19">
        <v>87.5</v>
      </c>
      <c r="S25" s="19">
        <v>80</v>
      </c>
      <c r="T25" s="19">
        <v>75</v>
      </c>
      <c r="U25" s="19">
        <v>73</v>
      </c>
      <c r="V25" s="19">
        <v>83.796000000000006</v>
      </c>
      <c r="W25" s="19">
        <v>71</v>
      </c>
      <c r="X25" s="19">
        <v>83.88</v>
      </c>
      <c r="Y25" s="18">
        <f t="shared" si="0"/>
        <v>78.87577777777777</v>
      </c>
      <c r="Z25" s="19">
        <v>78</v>
      </c>
      <c r="AA25" s="19">
        <v>83</v>
      </c>
      <c r="AB25" s="19">
        <v>80</v>
      </c>
      <c r="AC25" s="19">
        <v>83</v>
      </c>
      <c r="AD25" s="19">
        <v>78.7</v>
      </c>
      <c r="AE25" s="19">
        <v>87.5</v>
      </c>
      <c r="AF25" s="19">
        <v>80</v>
      </c>
      <c r="AG25" s="19">
        <v>74</v>
      </c>
      <c r="AH25" s="19">
        <v>90</v>
      </c>
      <c r="AI25" s="19">
        <v>78.150000000000006</v>
      </c>
      <c r="AJ25" s="19">
        <v>71</v>
      </c>
      <c r="AK25" s="19">
        <v>81.921052631578945</v>
      </c>
      <c r="AL25" s="18">
        <f t="shared" si="1"/>
        <v>80.439254385964915</v>
      </c>
      <c r="AM25" s="19">
        <v>80</v>
      </c>
      <c r="AN25" s="12">
        <v>84</v>
      </c>
      <c r="AO25" s="19">
        <v>80.333333333333329</v>
      </c>
      <c r="AP25" s="19">
        <v>77.400000000000006</v>
      </c>
      <c r="AQ25" s="12">
        <v>82</v>
      </c>
      <c r="AR25" s="12">
        <v>80</v>
      </c>
      <c r="AS25" s="12">
        <v>90</v>
      </c>
      <c r="AT25" s="19">
        <v>86.113714285714281</v>
      </c>
      <c r="AU25" s="12">
        <v>84</v>
      </c>
      <c r="AV25" s="19">
        <v>84</v>
      </c>
      <c r="AW25" s="19">
        <v>86.875</v>
      </c>
      <c r="AX25" s="21">
        <f t="shared" si="2"/>
        <v>85.028428571428577</v>
      </c>
      <c r="AY25" s="19">
        <v>84</v>
      </c>
      <c r="AZ25" s="12">
        <v>86</v>
      </c>
      <c r="BA25" s="19">
        <v>75</v>
      </c>
      <c r="BB25" s="19">
        <v>77.5</v>
      </c>
      <c r="BC25" s="19">
        <v>83.333333333333329</v>
      </c>
      <c r="BD25" s="19">
        <v>83.333333333333329</v>
      </c>
      <c r="BE25" s="19">
        <v>70.2</v>
      </c>
      <c r="BF25" s="19">
        <v>83.95</v>
      </c>
      <c r="BG25" s="19">
        <v>86.067038461538459</v>
      </c>
      <c r="BH25" s="19">
        <v>86.067038461538459</v>
      </c>
      <c r="BI25" s="19">
        <v>90.333333333333329</v>
      </c>
      <c r="BJ25" s="19">
        <v>77</v>
      </c>
      <c r="BK25" s="21">
        <f t="shared" si="3"/>
        <v>82.344006993007</v>
      </c>
      <c r="BL25" s="19">
        <v>86</v>
      </c>
      <c r="BM25" s="19">
        <v>100</v>
      </c>
      <c r="BN25" s="19">
        <v>80</v>
      </c>
      <c r="BO25" s="19">
        <v>85</v>
      </c>
      <c r="BP25" s="21">
        <f t="shared" si="4"/>
        <v>87.75</v>
      </c>
      <c r="BQ25" s="12">
        <v>73</v>
      </c>
      <c r="BR25" s="12">
        <v>75</v>
      </c>
      <c r="BS25" s="22">
        <f t="shared" si="5"/>
        <v>74</v>
      </c>
      <c r="BT25" s="23">
        <v>85</v>
      </c>
      <c r="BU25" s="23">
        <v>85</v>
      </c>
      <c r="BV25" s="23">
        <v>85</v>
      </c>
      <c r="BW25" s="23">
        <v>90</v>
      </c>
      <c r="BX25" s="23">
        <v>0</v>
      </c>
      <c r="BY25" s="23">
        <v>95</v>
      </c>
      <c r="BZ25" s="23">
        <v>74</v>
      </c>
      <c r="CA25" s="23">
        <v>80</v>
      </c>
      <c r="CB25" s="23">
        <v>84</v>
      </c>
      <c r="CC25" s="23">
        <v>85</v>
      </c>
      <c r="CD25" s="23">
        <v>85</v>
      </c>
      <c r="CE25" s="23">
        <v>86</v>
      </c>
      <c r="CF25" s="21">
        <f t="shared" si="6"/>
        <v>84.909090909090907</v>
      </c>
      <c r="CG25" s="8">
        <f>IFERROR(AVERAGEIF(BT25:CE25,"&lt;&gt;0"),"")</f>
        <v>84.909090909090907</v>
      </c>
    </row>
    <row r="26" spans="1:85" x14ac:dyDescent="0.25">
      <c r="A26" s="5">
        <v>20</v>
      </c>
      <c r="B26" s="11" t="s">
        <v>50</v>
      </c>
      <c r="C26" s="11" t="s">
        <v>79</v>
      </c>
      <c r="D26" s="11">
        <v>102308362</v>
      </c>
      <c r="E26" s="6" t="s">
        <v>16</v>
      </c>
      <c r="F26" s="6" t="s">
        <v>17</v>
      </c>
      <c r="G26" s="11" t="s">
        <v>86</v>
      </c>
      <c r="H26" s="15">
        <v>39373</v>
      </c>
      <c r="I26" s="11" t="s">
        <v>91</v>
      </c>
      <c r="J26" s="6">
        <v>2023</v>
      </c>
      <c r="K26" s="11" t="s">
        <v>18</v>
      </c>
      <c r="L26" s="11" t="s">
        <v>113</v>
      </c>
      <c r="M26" s="19">
        <v>78</v>
      </c>
      <c r="N26" s="19">
        <v>79</v>
      </c>
      <c r="O26" s="19">
        <v>80</v>
      </c>
      <c r="P26" s="19">
        <v>75</v>
      </c>
      <c r="Q26" s="19">
        <v>74</v>
      </c>
      <c r="R26" s="19">
        <v>77.5</v>
      </c>
      <c r="S26" s="19">
        <v>80</v>
      </c>
      <c r="T26" s="19">
        <v>83</v>
      </c>
      <c r="U26" s="19">
        <v>78</v>
      </c>
      <c r="V26" s="19">
        <v>80</v>
      </c>
      <c r="W26" s="19">
        <v>79.333333333333329</v>
      </c>
      <c r="X26" s="19">
        <v>77.715000000000018</v>
      </c>
      <c r="Y26" s="18">
        <f t="shared" si="0"/>
        <v>78.462361111111122</v>
      </c>
      <c r="Z26" s="19">
        <v>79</v>
      </c>
      <c r="AA26" s="19">
        <v>86</v>
      </c>
      <c r="AB26" s="19">
        <v>75</v>
      </c>
      <c r="AC26" s="19">
        <v>82</v>
      </c>
      <c r="AD26" s="19">
        <v>84.2</v>
      </c>
      <c r="AE26" s="19">
        <v>77.5</v>
      </c>
      <c r="AF26" s="19">
        <v>80</v>
      </c>
      <c r="AG26" s="19">
        <v>80</v>
      </c>
      <c r="AH26" s="19">
        <v>89</v>
      </c>
      <c r="AI26" s="19">
        <v>84.7</v>
      </c>
      <c r="AJ26" s="19">
        <v>83</v>
      </c>
      <c r="AK26" s="19">
        <v>89</v>
      </c>
      <c r="AL26" s="18">
        <f t="shared" si="1"/>
        <v>82.45</v>
      </c>
      <c r="AM26" s="19">
        <v>80.666666666666671</v>
      </c>
      <c r="AN26" s="12">
        <v>92</v>
      </c>
      <c r="AO26" s="19">
        <v>81.8888888888889</v>
      </c>
      <c r="AP26" s="19">
        <v>85.800000000000011</v>
      </c>
      <c r="AQ26" s="12">
        <v>82</v>
      </c>
      <c r="AR26" s="12">
        <v>79</v>
      </c>
      <c r="AS26" s="12">
        <v>89</v>
      </c>
      <c r="AT26" s="19">
        <v>85.8</v>
      </c>
      <c r="AU26" s="12">
        <v>84</v>
      </c>
      <c r="AV26" s="19">
        <v>84</v>
      </c>
      <c r="AW26" s="19">
        <v>86.375</v>
      </c>
      <c r="AX26" s="21">
        <f t="shared" si="2"/>
        <v>84.45</v>
      </c>
      <c r="AY26" s="19">
        <v>84</v>
      </c>
      <c r="AZ26" s="12">
        <v>93</v>
      </c>
      <c r="BA26" s="19">
        <v>87.666666666666671</v>
      </c>
      <c r="BB26" s="19">
        <v>76.5</v>
      </c>
      <c r="BC26" s="19">
        <v>83.666666666666671</v>
      </c>
      <c r="BD26" s="19">
        <v>83.666666666666671</v>
      </c>
      <c r="BE26" s="19">
        <v>84.15</v>
      </c>
      <c r="BF26" s="19">
        <v>75</v>
      </c>
      <c r="BG26" s="19">
        <v>89.030769230769224</v>
      </c>
      <c r="BH26" s="19">
        <v>89.030769230769224</v>
      </c>
      <c r="BI26" s="19">
        <v>91.666666666666671</v>
      </c>
      <c r="BJ26" s="19">
        <v>77.125</v>
      </c>
      <c r="BK26" s="21">
        <f t="shared" si="3"/>
        <v>85.216200466200476</v>
      </c>
      <c r="BL26" s="19">
        <v>86</v>
      </c>
      <c r="BM26" s="19">
        <v>100</v>
      </c>
      <c r="BN26" s="19">
        <v>88</v>
      </c>
      <c r="BO26" s="19">
        <v>90</v>
      </c>
      <c r="BP26" s="21">
        <f t="shared" si="4"/>
        <v>91</v>
      </c>
      <c r="BQ26" s="12">
        <v>81</v>
      </c>
      <c r="BR26" s="12">
        <v>89</v>
      </c>
      <c r="BS26" s="22">
        <f t="shared" si="5"/>
        <v>85</v>
      </c>
      <c r="BT26" s="23">
        <v>83</v>
      </c>
      <c r="BU26" s="23">
        <v>90</v>
      </c>
      <c r="BV26" s="23">
        <v>85</v>
      </c>
      <c r="BW26" s="23">
        <v>88</v>
      </c>
      <c r="BX26" s="23">
        <v>0</v>
      </c>
      <c r="BY26" s="23">
        <v>92</v>
      </c>
      <c r="BZ26" s="23">
        <v>85</v>
      </c>
      <c r="CA26" s="23">
        <v>80</v>
      </c>
      <c r="CB26" s="23">
        <v>81</v>
      </c>
      <c r="CC26" s="23">
        <v>85</v>
      </c>
      <c r="CD26" s="23">
        <v>85</v>
      </c>
      <c r="CE26" s="23">
        <v>86</v>
      </c>
      <c r="CF26" s="21">
        <f t="shared" si="6"/>
        <v>85.454545454545453</v>
      </c>
      <c r="CG26" s="8">
        <f>IFERROR(AVERAGEIF(BT26:CE26,"&lt;&gt;0"),"")</f>
        <v>85.454545454545453</v>
      </c>
    </row>
    <row r="27" spans="1:85" x14ac:dyDescent="0.25">
      <c r="A27" s="5">
        <v>21</v>
      </c>
      <c r="B27" s="9" t="s">
        <v>51</v>
      </c>
      <c r="C27" s="9" t="s">
        <v>80</v>
      </c>
      <c r="D27" s="9">
        <v>102308363</v>
      </c>
      <c r="E27" s="6" t="s">
        <v>16</v>
      </c>
      <c r="F27" s="6" t="s">
        <v>17</v>
      </c>
      <c r="G27" s="9" t="s">
        <v>86</v>
      </c>
      <c r="H27" s="14">
        <v>39382</v>
      </c>
      <c r="I27" s="9" t="s">
        <v>92</v>
      </c>
      <c r="J27" s="6">
        <v>2023</v>
      </c>
      <c r="K27" s="9" t="s">
        <v>18</v>
      </c>
      <c r="L27" s="9" t="s">
        <v>114</v>
      </c>
      <c r="M27" s="20">
        <v>80</v>
      </c>
      <c r="N27" s="20">
        <v>83</v>
      </c>
      <c r="O27" s="20">
        <v>70</v>
      </c>
      <c r="P27" s="20">
        <v>75</v>
      </c>
      <c r="Q27" s="20">
        <v>76</v>
      </c>
      <c r="R27" s="20">
        <v>87.5</v>
      </c>
      <c r="S27" s="20">
        <v>80</v>
      </c>
      <c r="T27" s="20">
        <v>73</v>
      </c>
      <c r="U27" s="20">
        <v>73</v>
      </c>
      <c r="V27" s="20">
        <v>87.593999999999994</v>
      </c>
      <c r="W27" s="20">
        <v>79</v>
      </c>
      <c r="X27" s="20">
        <v>87.584999999999994</v>
      </c>
      <c r="Y27" s="18">
        <f t="shared" si="0"/>
        <v>79.306583333333336</v>
      </c>
      <c r="Z27" s="20">
        <v>81</v>
      </c>
      <c r="AA27" s="20">
        <v>80</v>
      </c>
      <c r="AB27" s="20">
        <v>75</v>
      </c>
      <c r="AC27" s="20">
        <v>81</v>
      </c>
      <c r="AD27" s="20">
        <v>84.1</v>
      </c>
      <c r="AE27" s="20">
        <v>87.5</v>
      </c>
      <c r="AF27" s="20">
        <v>80</v>
      </c>
      <c r="AG27" s="20">
        <v>78</v>
      </c>
      <c r="AH27" s="20">
        <v>85</v>
      </c>
      <c r="AI27" s="20">
        <v>76.25</v>
      </c>
      <c r="AJ27" s="20">
        <v>76.666666666666671</v>
      </c>
      <c r="AK27" s="20">
        <v>82</v>
      </c>
      <c r="AL27" s="18">
        <f t="shared" si="1"/>
        <v>80.543055555555554</v>
      </c>
      <c r="AM27" s="20">
        <v>77.333333333333329</v>
      </c>
      <c r="AN27" s="20">
        <v>83.666666666666671</v>
      </c>
      <c r="AO27" s="20">
        <v>80.518518518518519</v>
      </c>
      <c r="AP27" s="20">
        <v>84</v>
      </c>
      <c r="AQ27" s="10">
        <v>81</v>
      </c>
      <c r="AR27" s="10">
        <v>81</v>
      </c>
      <c r="AS27" s="10">
        <v>83</v>
      </c>
      <c r="AT27" s="20">
        <v>82.857142857142861</v>
      </c>
      <c r="AU27" s="10">
        <v>87</v>
      </c>
      <c r="AV27" s="20">
        <v>87</v>
      </c>
      <c r="AW27" s="20">
        <v>82</v>
      </c>
      <c r="AX27" s="21">
        <f t="shared" si="2"/>
        <v>83.464285714285722</v>
      </c>
      <c r="AY27" s="20">
        <v>84</v>
      </c>
      <c r="AZ27" s="20">
        <v>90</v>
      </c>
      <c r="BA27" s="20">
        <v>88.333333333333329</v>
      </c>
      <c r="BB27" s="20">
        <v>85.8</v>
      </c>
      <c r="BC27" s="20">
        <v>84.666666666666671</v>
      </c>
      <c r="BD27" s="20">
        <v>84.666666666666671</v>
      </c>
      <c r="BE27" s="20">
        <v>80.2</v>
      </c>
      <c r="BF27" s="20">
        <v>84.15</v>
      </c>
      <c r="BG27" s="20">
        <v>84.803846153846152</v>
      </c>
      <c r="BH27" s="20">
        <v>84.803846153846152</v>
      </c>
      <c r="BI27" s="20">
        <v>90.333333333333329</v>
      </c>
      <c r="BJ27" s="20">
        <v>77</v>
      </c>
      <c r="BK27" s="21">
        <f t="shared" si="3"/>
        <v>85.61433566433567</v>
      </c>
      <c r="BL27" s="20">
        <v>95</v>
      </c>
      <c r="BM27" s="20">
        <v>88</v>
      </c>
      <c r="BN27" s="20">
        <v>88</v>
      </c>
      <c r="BO27" s="20">
        <v>88</v>
      </c>
      <c r="BP27" s="21">
        <f t="shared" si="4"/>
        <v>89.75</v>
      </c>
      <c r="BQ27" s="10">
        <v>85</v>
      </c>
      <c r="BR27" s="10">
        <v>90</v>
      </c>
      <c r="BS27" s="22">
        <f t="shared" si="5"/>
        <v>87.5</v>
      </c>
      <c r="BT27" s="24">
        <v>84</v>
      </c>
      <c r="BU27" s="24">
        <v>92</v>
      </c>
      <c r="BV27" s="24">
        <v>85</v>
      </c>
      <c r="BW27" s="24">
        <v>89</v>
      </c>
      <c r="BX27" s="24">
        <v>0</v>
      </c>
      <c r="BY27" s="24">
        <v>95</v>
      </c>
      <c r="BZ27" s="24">
        <v>87.5</v>
      </c>
      <c r="CA27" s="24">
        <v>80</v>
      </c>
      <c r="CB27" s="24">
        <v>82</v>
      </c>
      <c r="CC27" s="24">
        <v>85</v>
      </c>
      <c r="CD27" s="24">
        <v>77</v>
      </c>
      <c r="CE27" s="24">
        <v>86</v>
      </c>
      <c r="CF27" s="21">
        <f t="shared" si="6"/>
        <v>85.681818181818187</v>
      </c>
      <c r="CG27" s="8">
        <f>IFERROR(AVERAGEIF(BT27:CE27,"&lt;&gt;0"),"")</f>
        <v>85.681818181818187</v>
      </c>
    </row>
    <row r="28" spans="1:85" x14ac:dyDescent="0.25">
      <c r="A28" s="5">
        <v>22</v>
      </c>
      <c r="B28" s="11" t="s">
        <v>52</v>
      </c>
      <c r="C28" s="11" t="s">
        <v>81</v>
      </c>
      <c r="D28" s="11">
        <v>102308364</v>
      </c>
      <c r="E28" s="6" t="s">
        <v>16</v>
      </c>
      <c r="F28" s="6" t="s">
        <v>17</v>
      </c>
      <c r="G28" s="11" t="s">
        <v>87</v>
      </c>
      <c r="H28" s="15">
        <v>39539</v>
      </c>
      <c r="I28" s="11" t="s">
        <v>91</v>
      </c>
      <c r="J28" s="6">
        <v>2023</v>
      </c>
      <c r="K28" s="11" t="s">
        <v>18</v>
      </c>
      <c r="L28" s="11" t="s">
        <v>115</v>
      </c>
      <c r="M28" s="19">
        <v>78</v>
      </c>
      <c r="N28" s="19">
        <v>82</v>
      </c>
      <c r="O28" s="19">
        <v>70</v>
      </c>
      <c r="P28" s="19">
        <v>77</v>
      </c>
      <c r="Q28" s="19">
        <v>77.333333333333329</v>
      </c>
      <c r="R28" s="19">
        <v>100</v>
      </c>
      <c r="S28" s="19">
        <v>75</v>
      </c>
      <c r="T28" s="19">
        <v>80</v>
      </c>
      <c r="U28" s="19">
        <v>73</v>
      </c>
      <c r="V28" s="19">
        <v>83</v>
      </c>
      <c r="W28" s="19">
        <v>78</v>
      </c>
      <c r="X28" s="19">
        <v>89.45</v>
      </c>
      <c r="Y28" s="18">
        <f t="shared" si="0"/>
        <v>80.231944444444437</v>
      </c>
      <c r="Z28" s="19">
        <v>79</v>
      </c>
      <c r="AA28" s="19">
        <v>83</v>
      </c>
      <c r="AB28" s="19">
        <v>75</v>
      </c>
      <c r="AC28" s="19">
        <v>83</v>
      </c>
      <c r="AD28" s="19">
        <v>83.8</v>
      </c>
      <c r="AE28" s="19">
        <v>88</v>
      </c>
      <c r="AF28" s="19">
        <v>80</v>
      </c>
      <c r="AG28" s="19">
        <v>80</v>
      </c>
      <c r="AH28" s="19">
        <v>89</v>
      </c>
      <c r="AI28" s="19">
        <v>80.25</v>
      </c>
      <c r="AJ28" s="19">
        <v>80.666666666666671</v>
      </c>
      <c r="AK28" s="19">
        <v>82.71052631578948</v>
      </c>
      <c r="AL28" s="18">
        <f t="shared" si="1"/>
        <v>82.035599415204672</v>
      </c>
      <c r="AM28" s="19">
        <v>80</v>
      </c>
      <c r="AN28" s="12">
        <v>83</v>
      </c>
      <c r="AO28" s="19">
        <v>82.296296296296291</v>
      </c>
      <c r="AP28" s="19">
        <v>85.800000000000011</v>
      </c>
      <c r="AQ28" s="12">
        <v>83</v>
      </c>
      <c r="AR28" s="12">
        <v>82</v>
      </c>
      <c r="AS28" s="12">
        <v>80</v>
      </c>
      <c r="AT28" s="19">
        <v>87.316000000000003</v>
      </c>
      <c r="AU28" s="12">
        <v>85</v>
      </c>
      <c r="AV28" s="19">
        <v>85</v>
      </c>
      <c r="AW28" s="19">
        <v>86.375</v>
      </c>
      <c r="AX28" s="21">
        <f t="shared" si="2"/>
        <v>83.579000000000008</v>
      </c>
      <c r="AY28" s="19">
        <v>84</v>
      </c>
      <c r="AZ28" s="12">
        <v>89</v>
      </c>
      <c r="BA28" s="19">
        <v>89.333333333333329</v>
      </c>
      <c r="BB28" s="19">
        <v>81.5</v>
      </c>
      <c r="BC28" s="19">
        <v>84.333333333333329</v>
      </c>
      <c r="BD28" s="19">
        <v>84.333333333333329</v>
      </c>
      <c r="BE28" s="19">
        <v>81.7</v>
      </c>
      <c r="BF28" s="19">
        <v>80.2</v>
      </c>
      <c r="BG28" s="19">
        <v>83.832423076923064</v>
      </c>
      <c r="BH28" s="19">
        <v>83.832423076923064</v>
      </c>
      <c r="BI28" s="19">
        <v>90</v>
      </c>
      <c r="BJ28" s="19">
        <v>80</v>
      </c>
      <c r="BK28" s="21">
        <f t="shared" si="3"/>
        <v>84.733167832167837</v>
      </c>
      <c r="BL28" s="19">
        <v>84</v>
      </c>
      <c r="BM28" s="19">
        <v>92</v>
      </c>
      <c r="BN28" s="19">
        <v>95</v>
      </c>
      <c r="BO28" s="19">
        <v>93</v>
      </c>
      <c r="BP28" s="21">
        <f t="shared" si="4"/>
        <v>91</v>
      </c>
      <c r="BQ28" s="12">
        <v>86</v>
      </c>
      <c r="BR28" s="12">
        <v>87</v>
      </c>
      <c r="BS28" s="22">
        <f t="shared" si="5"/>
        <v>86.5</v>
      </c>
      <c r="BT28" s="23">
        <v>83</v>
      </c>
      <c r="BU28" s="23">
        <v>90</v>
      </c>
      <c r="BV28" s="23">
        <v>85</v>
      </c>
      <c r="BW28" s="23">
        <v>89</v>
      </c>
      <c r="BX28" s="23">
        <v>0</v>
      </c>
      <c r="BY28" s="23">
        <v>90</v>
      </c>
      <c r="BZ28" s="23">
        <v>86.5</v>
      </c>
      <c r="CA28" s="23">
        <v>80</v>
      </c>
      <c r="CB28" s="23">
        <v>77</v>
      </c>
      <c r="CC28" s="23">
        <v>85</v>
      </c>
      <c r="CD28" s="23">
        <v>80</v>
      </c>
      <c r="CE28" s="23">
        <v>86</v>
      </c>
      <c r="CF28" s="21">
        <f t="shared" si="6"/>
        <v>84.681818181818187</v>
      </c>
      <c r="CG28" s="8">
        <f>IFERROR(AVERAGEIF(BT28:CE28,"&lt;&gt;0"),"")</f>
        <v>84.681818181818187</v>
      </c>
    </row>
    <row r="29" spans="1:85" x14ac:dyDescent="0.25">
      <c r="A29" s="5">
        <v>23</v>
      </c>
      <c r="B29" s="9" t="s">
        <v>53</v>
      </c>
      <c r="C29" s="9" t="s">
        <v>82</v>
      </c>
      <c r="D29" s="9">
        <v>102308365</v>
      </c>
      <c r="E29" s="6" t="s">
        <v>16</v>
      </c>
      <c r="F29" s="6" t="s">
        <v>17</v>
      </c>
      <c r="G29" s="9" t="s">
        <v>86</v>
      </c>
      <c r="H29" s="14">
        <v>39258</v>
      </c>
      <c r="I29" s="9" t="s">
        <v>92</v>
      </c>
      <c r="J29" s="6">
        <v>2023</v>
      </c>
      <c r="K29" s="9" t="s">
        <v>18</v>
      </c>
      <c r="L29" s="9" t="s">
        <v>116</v>
      </c>
      <c r="M29" s="20">
        <v>79</v>
      </c>
      <c r="N29" s="20">
        <v>80</v>
      </c>
      <c r="O29" s="20">
        <v>70</v>
      </c>
      <c r="P29" s="20">
        <v>74</v>
      </c>
      <c r="Q29" s="20">
        <v>74.333333333333329</v>
      </c>
      <c r="R29" s="20">
        <v>75</v>
      </c>
      <c r="S29" s="20">
        <v>78</v>
      </c>
      <c r="T29" s="20">
        <v>75</v>
      </c>
      <c r="U29" s="20">
        <v>73</v>
      </c>
      <c r="V29" s="20">
        <v>77</v>
      </c>
      <c r="W29" s="20">
        <v>71</v>
      </c>
      <c r="X29" s="20">
        <v>81.682999999999993</v>
      </c>
      <c r="Y29" s="18">
        <f t="shared" si="0"/>
        <v>75.668027777777766</v>
      </c>
      <c r="Z29" s="20">
        <v>80</v>
      </c>
      <c r="AA29" s="20">
        <v>81</v>
      </c>
      <c r="AB29" s="20">
        <v>75</v>
      </c>
      <c r="AC29" s="20">
        <v>80</v>
      </c>
      <c r="AD29" s="20">
        <v>83.4</v>
      </c>
      <c r="AE29" s="20">
        <v>89</v>
      </c>
      <c r="AF29" s="20">
        <v>83</v>
      </c>
      <c r="AG29" s="20">
        <v>78</v>
      </c>
      <c r="AH29" s="20">
        <v>83</v>
      </c>
      <c r="AI29" s="20">
        <v>74.900000000000006</v>
      </c>
      <c r="AJ29" s="20">
        <v>71</v>
      </c>
      <c r="AK29" s="20">
        <v>79</v>
      </c>
      <c r="AL29" s="18">
        <f t="shared" si="1"/>
        <v>79.774999999999991</v>
      </c>
      <c r="AM29" s="20">
        <v>77.666666666666671</v>
      </c>
      <c r="AN29" s="10">
        <v>82</v>
      </c>
      <c r="AO29" s="20">
        <v>86.8611111111111</v>
      </c>
      <c r="AP29" s="20">
        <v>87.4</v>
      </c>
      <c r="AQ29" s="10">
        <v>83</v>
      </c>
      <c r="AR29" s="10">
        <v>85</v>
      </c>
      <c r="AS29" s="10">
        <v>79</v>
      </c>
      <c r="AT29" s="20">
        <v>75.010000000000005</v>
      </c>
      <c r="AU29" s="10">
        <v>84</v>
      </c>
      <c r="AV29" s="20">
        <v>84</v>
      </c>
      <c r="AW29" s="20">
        <v>85.625</v>
      </c>
      <c r="AX29" s="21">
        <f t="shared" si="2"/>
        <v>80.752499999999998</v>
      </c>
      <c r="AY29" s="20">
        <v>84</v>
      </c>
      <c r="AZ29" s="10">
        <v>86</v>
      </c>
      <c r="BA29" s="20">
        <v>91</v>
      </c>
      <c r="BB29" s="20">
        <v>85</v>
      </c>
      <c r="BC29" s="20">
        <v>85.333333333333329</v>
      </c>
      <c r="BD29" s="20">
        <v>85.333333333333329</v>
      </c>
      <c r="BE29" s="20">
        <v>80.25</v>
      </c>
      <c r="BF29" s="20">
        <v>81.7</v>
      </c>
      <c r="BG29" s="20">
        <v>86.165999999999997</v>
      </c>
      <c r="BH29" s="20">
        <v>86.165999999999997</v>
      </c>
      <c r="BI29" s="20">
        <v>89</v>
      </c>
      <c r="BJ29" s="20">
        <v>80</v>
      </c>
      <c r="BK29" s="21">
        <f t="shared" si="3"/>
        <v>85.449878787878788</v>
      </c>
      <c r="BL29" s="20">
        <v>90</v>
      </c>
      <c r="BM29" s="20">
        <v>92</v>
      </c>
      <c r="BN29" s="20">
        <v>97</v>
      </c>
      <c r="BO29" s="20">
        <v>95</v>
      </c>
      <c r="BP29" s="21">
        <f t="shared" si="4"/>
        <v>93.5</v>
      </c>
      <c r="BQ29" s="10">
        <v>75</v>
      </c>
      <c r="BR29" s="10">
        <v>75</v>
      </c>
      <c r="BS29" s="22">
        <f t="shared" si="5"/>
        <v>75</v>
      </c>
      <c r="BT29" s="24">
        <v>83</v>
      </c>
      <c r="BU29" s="24">
        <v>86</v>
      </c>
      <c r="BV29" s="24">
        <v>85</v>
      </c>
      <c r="BW29" s="24">
        <v>88</v>
      </c>
      <c r="BX29" s="24">
        <v>0</v>
      </c>
      <c r="BY29" s="24">
        <v>90</v>
      </c>
      <c r="BZ29" s="24">
        <v>75</v>
      </c>
      <c r="CA29" s="24">
        <v>80</v>
      </c>
      <c r="CB29" s="24">
        <v>79</v>
      </c>
      <c r="CC29" s="24">
        <v>85</v>
      </c>
      <c r="CD29" s="24">
        <v>77</v>
      </c>
      <c r="CE29" s="24">
        <v>87</v>
      </c>
      <c r="CF29" s="21">
        <f t="shared" si="6"/>
        <v>83.181818181818187</v>
      </c>
      <c r="CG29" s="8">
        <f>IFERROR(AVERAGEIF(BT29:CE29,"&lt;&gt;0"),"")</f>
        <v>83.181818181818187</v>
      </c>
    </row>
    <row r="30" spans="1:85" x14ac:dyDescent="0.25">
      <c r="A30" s="5">
        <v>24</v>
      </c>
      <c r="B30" s="11" t="s">
        <v>54</v>
      </c>
      <c r="C30" s="11" t="s">
        <v>83</v>
      </c>
      <c r="D30" s="11">
        <v>102308366</v>
      </c>
      <c r="E30" s="6" t="s">
        <v>16</v>
      </c>
      <c r="F30" s="6" t="s">
        <v>17</v>
      </c>
      <c r="G30" s="11" t="s">
        <v>87</v>
      </c>
      <c r="H30" s="15">
        <v>39335</v>
      </c>
      <c r="I30" s="11" t="s">
        <v>91</v>
      </c>
      <c r="J30" s="6">
        <v>2023</v>
      </c>
      <c r="K30" s="11" t="s">
        <v>18</v>
      </c>
      <c r="L30" s="11" t="s">
        <v>117</v>
      </c>
      <c r="M30" s="19">
        <v>78</v>
      </c>
      <c r="N30" s="19">
        <v>78</v>
      </c>
      <c r="O30" s="19">
        <v>70</v>
      </c>
      <c r="P30" s="19">
        <v>75</v>
      </c>
      <c r="Q30" s="19">
        <v>76</v>
      </c>
      <c r="R30" s="19">
        <v>75</v>
      </c>
      <c r="S30" s="19">
        <v>78</v>
      </c>
      <c r="T30" s="19">
        <v>70</v>
      </c>
      <c r="U30" s="19">
        <v>73</v>
      </c>
      <c r="V30" s="19">
        <v>77</v>
      </c>
      <c r="W30" s="19">
        <v>72.333333333333329</v>
      </c>
      <c r="X30" s="19">
        <v>79.990000000000009</v>
      </c>
      <c r="Y30" s="18">
        <f t="shared" si="0"/>
        <v>75.19361111111111</v>
      </c>
      <c r="Z30" s="19">
        <v>79</v>
      </c>
      <c r="AA30" s="19">
        <v>81</v>
      </c>
      <c r="AB30" s="19">
        <v>75</v>
      </c>
      <c r="AC30" s="19">
        <v>81</v>
      </c>
      <c r="AD30" s="19">
        <v>82.8</v>
      </c>
      <c r="AE30" s="19">
        <v>70</v>
      </c>
      <c r="AF30" s="19">
        <v>80</v>
      </c>
      <c r="AG30" s="19">
        <v>74</v>
      </c>
      <c r="AH30" s="19">
        <v>78</v>
      </c>
      <c r="AI30" s="19">
        <v>76.349999999999994</v>
      </c>
      <c r="AJ30" s="19">
        <v>76.333333333333329</v>
      </c>
      <c r="AK30" s="19">
        <v>83</v>
      </c>
      <c r="AL30" s="18">
        <f t="shared" si="1"/>
        <v>78.040277777777774</v>
      </c>
      <c r="AM30" s="19">
        <v>79.333333333333329</v>
      </c>
      <c r="AN30" s="12">
        <v>82</v>
      </c>
      <c r="AO30" s="19">
        <v>79.761904761904759</v>
      </c>
      <c r="AP30" s="19">
        <v>77.2</v>
      </c>
      <c r="AQ30" s="12">
        <v>84</v>
      </c>
      <c r="AR30" s="12">
        <v>79</v>
      </c>
      <c r="AS30" s="12">
        <v>76</v>
      </c>
      <c r="AT30" s="19">
        <v>75.010000000000005</v>
      </c>
      <c r="AU30" s="12">
        <v>86</v>
      </c>
      <c r="AV30" s="19">
        <v>86</v>
      </c>
      <c r="AW30" s="19">
        <v>77.625</v>
      </c>
      <c r="AX30" s="21">
        <f t="shared" si="2"/>
        <v>79.002499999999998</v>
      </c>
      <c r="AY30" s="19">
        <v>84</v>
      </c>
      <c r="AZ30" s="12">
        <v>83</v>
      </c>
      <c r="BA30" s="19">
        <v>82.666666666666671</v>
      </c>
      <c r="BB30" s="19">
        <v>75.099999999999994</v>
      </c>
      <c r="BC30" s="19">
        <v>81.666666666666671</v>
      </c>
      <c r="BD30" s="19">
        <v>81.666666666666671</v>
      </c>
      <c r="BE30" s="19">
        <v>77.25</v>
      </c>
      <c r="BF30" s="19">
        <v>80.25</v>
      </c>
      <c r="BG30" s="19">
        <v>75</v>
      </c>
      <c r="BH30" s="19">
        <v>75</v>
      </c>
      <c r="BI30" s="19">
        <v>88.666666666666671</v>
      </c>
      <c r="BJ30" s="19">
        <v>77</v>
      </c>
      <c r="BK30" s="21">
        <f t="shared" si="3"/>
        <v>80.38787878787879</v>
      </c>
      <c r="BL30" s="19">
        <v>80</v>
      </c>
      <c r="BM30" s="19">
        <v>82</v>
      </c>
      <c r="BN30" s="19">
        <v>80</v>
      </c>
      <c r="BO30" s="19">
        <v>78</v>
      </c>
      <c r="BP30" s="21">
        <f t="shared" si="4"/>
        <v>80</v>
      </c>
      <c r="BQ30" s="12">
        <v>75</v>
      </c>
      <c r="BR30" s="12">
        <v>75</v>
      </c>
      <c r="BS30" s="22">
        <f t="shared" si="5"/>
        <v>75</v>
      </c>
      <c r="BT30" s="23">
        <v>83</v>
      </c>
      <c r="BU30" s="23">
        <v>85</v>
      </c>
      <c r="BV30" s="23">
        <v>85</v>
      </c>
      <c r="BW30" s="23">
        <v>89</v>
      </c>
      <c r="BX30" s="23">
        <v>0</v>
      </c>
      <c r="BY30" s="23">
        <v>90</v>
      </c>
      <c r="BZ30" s="23">
        <v>75</v>
      </c>
      <c r="CA30" s="23">
        <v>77</v>
      </c>
      <c r="CB30" s="23">
        <v>77</v>
      </c>
      <c r="CC30" s="23">
        <v>85</v>
      </c>
      <c r="CD30" s="23">
        <v>77</v>
      </c>
      <c r="CE30" s="23">
        <v>85</v>
      </c>
      <c r="CF30" s="21">
        <f t="shared" si="6"/>
        <v>82.545454545454547</v>
      </c>
      <c r="CG30" s="8">
        <f>IFERROR(AVERAGEIF(BT30:CE30,"&lt;&gt;0"),"")</f>
        <v>82.545454545454547</v>
      </c>
    </row>
    <row r="31" spans="1:85" x14ac:dyDescent="0.25">
      <c r="A31" s="5">
        <v>25</v>
      </c>
      <c r="B31" s="9" t="s">
        <v>55</v>
      </c>
      <c r="C31" s="9" t="s">
        <v>84</v>
      </c>
      <c r="D31" s="9">
        <v>102308367</v>
      </c>
      <c r="E31" s="6" t="s">
        <v>16</v>
      </c>
      <c r="F31" s="6" t="s">
        <v>17</v>
      </c>
      <c r="G31" s="9" t="s">
        <v>90</v>
      </c>
      <c r="H31" s="14">
        <v>39923</v>
      </c>
      <c r="I31" s="9" t="s">
        <v>91</v>
      </c>
      <c r="J31" s="6">
        <v>2023</v>
      </c>
      <c r="K31" s="9" t="s">
        <v>93</v>
      </c>
      <c r="L31" s="9" t="s">
        <v>118</v>
      </c>
      <c r="M31" s="20">
        <v>70</v>
      </c>
      <c r="N31" s="20">
        <v>78</v>
      </c>
      <c r="O31" s="20">
        <v>70</v>
      </c>
      <c r="P31" s="20">
        <v>74</v>
      </c>
      <c r="Q31" s="20">
        <v>73.666666666666671</v>
      </c>
      <c r="R31" s="20">
        <v>75</v>
      </c>
      <c r="S31" s="20">
        <v>72</v>
      </c>
      <c r="T31" s="20">
        <v>70</v>
      </c>
      <c r="U31" s="20">
        <v>70</v>
      </c>
      <c r="V31" s="20">
        <v>75</v>
      </c>
      <c r="W31" s="20">
        <v>70</v>
      </c>
      <c r="X31" s="20">
        <v>75</v>
      </c>
      <c r="Y31" s="18">
        <f t="shared" si="0"/>
        <v>72.722222222222229</v>
      </c>
      <c r="Z31" s="20">
        <v>82</v>
      </c>
      <c r="AA31" s="20">
        <v>80</v>
      </c>
      <c r="AB31" s="20">
        <v>75</v>
      </c>
      <c r="AC31" s="20">
        <v>78</v>
      </c>
      <c r="AD31" s="20">
        <v>78.2</v>
      </c>
      <c r="AE31" s="20">
        <v>75</v>
      </c>
      <c r="AF31" s="20">
        <v>72</v>
      </c>
      <c r="AG31" s="20">
        <v>72</v>
      </c>
      <c r="AH31" s="20">
        <v>79</v>
      </c>
      <c r="AI31" s="20">
        <v>69.5</v>
      </c>
      <c r="AJ31" s="20">
        <v>70</v>
      </c>
      <c r="AK31" s="20">
        <v>75</v>
      </c>
      <c r="AL31" s="18">
        <f t="shared" si="1"/>
        <v>75.475000000000009</v>
      </c>
      <c r="AM31" s="20">
        <v>82</v>
      </c>
      <c r="AN31" s="10">
        <v>80</v>
      </c>
      <c r="AO31" s="20">
        <v>78.125</v>
      </c>
      <c r="AP31" s="20">
        <v>75</v>
      </c>
      <c r="AQ31" s="10">
        <v>83</v>
      </c>
      <c r="AR31" s="10">
        <v>78</v>
      </c>
      <c r="AS31" s="10">
        <v>77</v>
      </c>
      <c r="AT31" s="20">
        <v>75.010000000000005</v>
      </c>
      <c r="AU31" s="10">
        <v>82</v>
      </c>
      <c r="AV31" s="20">
        <v>82</v>
      </c>
      <c r="AW31" s="20">
        <v>76.125</v>
      </c>
      <c r="AX31" s="21">
        <f t="shared" si="2"/>
        <v>78.002499999999998</v>
      </c>
      <c r="AY31" s="20">
        <v>82</v>
      </c>
      <c r="AZ31" s="10">
        <v>87</v>
      </c>
      <c r="BA31" s="20">
        <v>75</v>
      </c>
      <c r="BB31" s="20">
        <v>74.599999999999994</v>
      </c>
      <c r="BC31" s="20">
        <v>80.333333333333329</v>
      </c>
      <c r="BD31" s="20">
        <v>80.333333333333329</v>
      </c>
      <c r="BE31" s="20">
        <v>76.75</v>
      </c>
      <c r="BF31" s="20">
        <v>77.25</v>
      </c>
      <c r="BG31" s="20">
        <v>75</v>
      </c>
      <c r="BH31" s="20">
        <v>75</v>
      </c>
      <c r="BI31" s="20">
        <v>89</v>
      </c>
      <c r="BJ31" s="20">
        <v>75</v>
      </c>
      <c r="BK31" s="21">
        <f t="shared" si="3"/>
        <v>79.296969696969697</v>
      </c>
      <c r="BL31" s="20">
        <v>83</v>
      </c>
      <c r="BM31" s="20">
        <v>100</v>
      </c>
      <c r="BN31" s="20">
        <v>80</v>
      </c>
      <c r="BO31" s="20">
        <v>80</v>
      </c>
      <c r="BP31" s="21">
        <f t="shared" si="4"/>
        <v>85.75</v>
      </c>
      <c r="BQ31" s="10">
        <v>65</v>
      </c>
      <c r="BR31" s="10">
        <v>75</v>
      </c>
      <c r="BS31" s="22">
        <f t="shared" si="5"/>
        <v>70</v>
      </c>
      <c r="BT31" s="24">
        <v>84</v>
      </c>
      <c r="BU31" s="24">
        <v>87</v>
      </c>
      <c r="BV31" s="24">
        <v>85</v>
      </c>
      <c r="BW31" s="24">
        <v>89</v>
      </c>
      <c r="BX31" s="24">
        <v>0</v>
      </c>
      <c r="BY31" s="24">
        <v>90</v>
      </c>
      <c r="BZ31" s="24">
        <v>70</v>
      </c>
      <c r="CA31" s="24">
        <v>77</v>
      </c>
      <c r="CB31" s="24">
        <v>78</v>
      </c>
      <c r="CC31" s="24">
        <v>85</v>
      </c>
      <c r="CD31" s="24">
        <v>95</v>
      </c>
      <c r="CE31" s="24">
        <v>85</v>
      </c>
      <c r="CF31" s="21">
        <f t="shared" si="6"/>
        <v>84.090909090909093</v>
      </c>
      <c r="CG31" s="8">
        <f>IFERROR(AVERAGEIF(BT31:CE31,"&lt;&gt;0"),"")</f>
        <v>84.090909090909093</v>
      </c>
    </row>
    <row r="32" spans="1:85" x14ac:dyDescent="0.25">
      <c r="A32" s="5">
        <v>26</v>
      </c>
      <c r="B32" s="11" t="s">
        <v>56</v>
      </c>
      <c r="C32" s="11" t="s">
        <v>85</v>
      </c>
      <c r="D32" s="11">
        <v>112408766</v>
      </c>
      <c r="E32" s="6" t="s">
        <v>16</v>
      </c>
      <c r="F32" s="6" t="s">
        <v>17</v>
      </c>
      <c r="G32" s="11" t="s">
        <v>87</v>
      </c>
      <c r="H32" s="15">
        <v>39313</v>
      </c>
      <c r="I32" s="11" t="s">
        <v>91</v>
      </c>
      <c r="J32" s="6">
        <v>2023</v>
      </c>
      <c r="K32" s="11" t="s">
        <v>18</v>
      </c>
      <c r="L32" s="11" t="s">
        <v>119</v>
      </c>
      <c r="M32" s="12">
        <v>77</v>
      </c>
      <c r="N32" s="12">
        <v>82</v>
      </c>
      <c r="O32" s="12">
        <v>77</v>
      </c>
      <c r="P32" s="12">
        <v>70</v>
      </c>
      <c r="Q32" s="12">
        <v>80</v>
      </c>
      <c r="R32" s="12">
        <v>81</v>
      </c>
      <c r="S32" s="12">
        <v>75</v>
      </c>
      <c r="T32" s="12">
        <v>80</v>
      </c>
      <c r="U32" s="12">
        <v>76</v>
      </c>
      <c r="V32" s="12">
        <v>77</v>
      </c>
      <c r="W32" s="12">
        <v>77</v>
      </c>
      <c r="X32" s="12">
        <v>79</v>
      </c>
      <c r="Y32" s="16">
        <f t="shared" si="0"/>
        <v>77.583333333333329</v>
      </c>
      <c r="Z32" s="12">
        <v>78</v>
      </c>
      <c r="AA32" s="12">
        <v>76</v>
      </c>
      <c r="AB32" s="12">
        <v>75</v>
      </c>
      <c r="AC32" s="12">
        <v>79</v>
      </c>
      <c r="AD32" s="12">
        <v>75</v>
      </c>
      <c r="AE32" s="12">
        <v>81</v>
      </c>
      <c r="AF32" s="12">
        <v>75</v>
      </c>
      <c r="AG32" s="12">
        <v>75</v>
      </c>
      <c r="AH32" s="12">
        <v>75</v>
      </c>
      <c r="AI32" s="12">
        <v>75</v>
      </c>
      <c r="AJ32" s="12">
        <v>79</v>
      </c>
      <c r="AK32" s="12">
        <v>75</v>
      </c>
      <c r="AL32" s="16">
        <f t="shared" si="1"/>
        <v>76.5</v>
      </c>
      <c r="AM32" s="19">
        <v>80</v>
      </c>
      <c r="AN32" s="12">
        <v>84</v>
      </c>
      <c r="AO32" s="19">
        <v>82.125</v>
      </c>
      <c r="AP32" s="19">
        <v>76.400000000000006</v>
      </c>
      <c r="AQ32" s="12">
        <v>81</v>
      </c>
      <c r="AR32" s="12">
        <v>78</v>
      </c>
      <c r="AS32" s="12">
        <v>88</v>
      </c>
      <c r="AT32" s="19">
        <v>75.010000000000005</v>
      </c>
      <c r="AU32" s="12">
        <v>84</v>
      </c>
      <c r="AV32" s="19">
        <v>84</v>
      </c>
      <c r="AW32" s="19">
        <v>85.75</v>
      </c>
      <c r="AX32" s="21">
        <f t="shared" si="2"/>
        <v>81.252499999999998</v>
      </c>
      <c r="AY32" s="20">
        <v>84</v>
      </c>
      <c r="AZ32" s="10">
        <v>88</v>
      </c>
      <c r="BA32" s="20">
        <v>75</v>
      </c>
      <c r="BB32" s="20">
        <v>75</v>
      </c>
      <c r="BC32" s="20">
        <v>86</v>
      </c>
      <c r="BD32" s="20">
        <v>78</v>
      </c>
      <c r="BE32" s="20">
        <v>70</v>
      </c>
      <c r="BF32" s="20">
        <v>75</v>
      </c>
      <c r="BG32" s="20">
        <v>78</v>
      </c>
      <c r="BH32" s="20">
        <v>80</v>
      </c>
      <c r="BI32" s="20">
        <v>85</v>
      </c>
      <c r="BJ32" s="20"/>
      <c r="BK32" s="21">
        <f t="shared" si="3"/>
        <v>79.454545454545453</v>
      </c>
      <c r="BL32" s="20">
        <v>91</v>
      </c>
      <c r="BM32" s="20">
        <v>100</v>
      </c>
      <c r="BN32" s="20">
        <v>85</v>
      </c>
      <c r="BO32" s="20">
        <v>85</v>
      </c>
      <c r="BP32" s="21">
        <f t="shared" si="4"/>
        <v>90.25</v>
      </c>
      <c r="BQ32" s="12">
        <v>84</v>
      </c>
      <c r="BR32" s="12">
        <v>87</v>
      </c>
      <c r="BS32" s="22">
        <f t="shared" si="5"/>
        <v>85.5</v>
      </c>
      <c r="BT32" s="23">
        <v>80</v>
      </c>
      <c r="BU32" s="23">
        <v>90</v>
      </c>
      <c r="BV32" s="23">
        <v>85</v>
      </c>
      <c r="BW32" s="23">
        <v>88</v>
      </c>
      <c r="BX32" s="23">
        <v>0</v>
      </c>
      <c r="BY32" s="23">
        <v>85</v>
      </c>
      <c r="BZ32" s="23">
        <v>85.5</v>
      </c>
      <c r="CA32" s="23">
        <v>80</v>
      </c>
      <c r="CB32" s="23">
        <v>76</v>
      </c>
      <c r="CC32" s="23">
        <v>85</v>
      </c>
      <c r="CD32" s="23">
        <v>77</v>
      </c>
      <c r="CE32" s="23">
        <v>85</v>
      </c>
      <c r="CF32" s="21">
        <f t="shared" si="6"/>
        <v>83.318181818181813</v>
      </c>
      <c r="CG32" s="8">
        <f>IFERROR(AVERAGEIF(BT32:CE32,"&lt;&gt;0"),"")</f>
        <v>83.318181818181813</v>
      </c>
    </row>
  </sheetData>
  <mergeCells count="11">
    <mergeCell ref="BL5:BP5"/>
    <mergeCell ref="BQ5:BS5"/>
    <mergeCell ref="BT5:CF5"/>
    <mergeCell ref="M5:Y5"/>
    <mergeCell ref="Z5:AL5"/>
    <mergeCell ref="AM5:AX5"/>
    <mergeCell ref="AY5:BK5"/>
    <mergeCell ref="A1:Z1"/>
    <mergeCell ref="A3:Z3"/>
    <mergeCell ref="A5:L5"/>
    <mergeCell ref="A2:Z2"/>
  </mergeCells>
  <phoneticPr fontId="10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MUFTI ADIYATMA</cp:lastModifiedBy>
  <dcterms:created xsi:type="dcterms:W3CDTF">2026-04-11T15:57:42Z</dcterms:created>
  <dcterms:modified xsi:type="dcterms:W3CDTF">2026-04-28T10:44:05Z</dcterms:modified>
</cp:coreProperties>
</file>